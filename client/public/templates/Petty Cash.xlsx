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E:\E Drive\University Project\L3S1\"/>
    </mc:Choice>
  </mc:AlternateContent>
  <xr:revisionPtr revIDLastSave="0" documentId="13_ncr:1_{FDB38933-2500-424C-AEA9-2B7DFA7F16E5}" xr6:coauthVersionLast="36" xr6:coauthVersionMax="36" xr10:uidLastSave="{00000000-0000-0000-0000-000000000000}"/>
  <bookViews>
    <workbookView xWindow="-108" yWindow="-108" windowWidth="23256" windowHeight="12456" tabRatio="705" firstSheet="4" activeTab="4" xr2:uid="{00000000-000D-0000-FFFF-FFFF00000000}"/>
  </bookViews>
  <sheets>
    <sheet name="Ref" sheetId="26" state="hidden" r:id="rId1"/>
    <sheet name="PPE" sheetId="24" state="hidden" r:id="rId2"/>
    <sheet name="Working" sheetId="25" state="hidden" r:id="rId3"/>
    <sheet name="TB" sheetId="7" state="hidden" r:id="rId4"/>
    <sheet name="P09" sheetId="6" r:id="rId5"/>
  </sheets>
  <externalReferences>
    <externalReference r:id="rId6"/>
  </externalReferences>
  <definedNames>
    <definedName name="Beg_Bal">#REF!</definedName>
    <definedName name="Chinthi">'[1]P&amp;L'!#REF!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ranji">'[1]P&amp;L'!#REF!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  <definedName name="vDateTime">#REF!</definedName>
    <definedName name="vDiastolic">#REF!</definedName>
    <definedName name="vHeartRate">#REF!</definedName>
    <definedName name="vSystolic">#REF!</definedName>
  </definedNames>
  <calcPr calcId="191029"/>
</workbook>
</file>

<file path=xl/calcChain.xml><?xml version="1.0" encoding="utf-8"?>
<calcChain xmlns="http://schemas.openxmlformats.org/spreadsheetml/2006/main">
  <c r="D29" i="6" l="1"/>
  <c r="D30" i="6" s="1"/>
  <c r="D11" i="6"/>
  <c r="C22" i="7"/>
  <c r="C18" i="7"/>
  <c r="C17" i="7"/>
  <c r="B44" i="7"/>
  <c r="B42" i="7"/>
  <c r="B37" i="7"/>
  <c r="B39" i="7"/>
  <c r="D17" i="6" s="1"/>
  <c r="B38" i="7" l="1"/>
  <c r="D18" i="6" s="1"/>
  <c r="B36" i="7"/>
  <c r="B33" i="7"/>
  <c r="B29" i="7"/>
  <c r="D12" i="6" s="1"/>
  <c r="B32" i="7"/>
  <c r="B31" i="7"/>
  <c r="D16" i="6" s="1"/>
  <c r="B45" i="7"/>
  <c r="C15" i="7"/>
  <c r="B14" i="7"/>
  <c r="B13" i="7"/>
  <c r="B12" i="7"/>
  <c r="B11" i="7"/>
  <c r="B10" i="7"/>
  <c r="B9" i="7"/>
  <c r="G6" i="24"/>
  <c r="F9" i="24"/>
  <c r="G9" i="24" s="1"/>
  <c r="F8" i="24"/>
  <c r="G8" i="24" s="1"/>
  <c r="F7" i="24"/>
  <c r="G7" i="24" s="1"/>
  <c r="F6" i="24"/>
  <c r="F5" i="24"/>
  <c r="G5" i="24" s="1"/>
  <c r="D10" i="24"/>
  <c r="D5" i="24"/>
  <c r="D6" i="24"/>
  <c r="D7" i="24"/>
  <c r="D8" i="24"/>
  <c r="D9" i="24"/>
  <c r="F4" i="24"/>
  <c r="G4" i="24" s="1"/>
  <c r="D4" i="24"/>
  <c r="A9" i="24"/>
  <c r="A8" i="24"/>
  <c r="A7" i="24"/>
  <c r="A6" i="24"/>
  <c r="A5" i="24"/>
  <c r="A4" i="24"/>
  <c r="C20" i="7"/>
  <c r="C19" i="7"/>
  <c r="B35" i="7"/>
  <c r="D14" i="6" s="1"/>
  <c r="B34" i="7"/>
  <c r="D13" i="6" s="1"/>
  <c r="D33" i="25"/>
  <c r="C33" i="25"/>
  <c r="B33" i="25"/>
  <c r="D32" i="25"/>
  <c r="D31" i="25"/>
  <c r="D30" i="25"/>
  <c r="D29" i="25"/>
  <c r="D28" i="25"/>
  <c r="C32" i="25"/>
  <c r="C31" i="25"/>
  <c r="C30" i="25"/>
  <c r="C29" i="25"/>
  <c r="C28" i="25"/>
  <c r="B25" i="25"/>
  <c r="C27" i="7"/>
  <c r="E20" i="7" l="1"/>
  <c r="D25" i="6"/>
  <c r="D24" i="6"/>
  <c r="D15" i="6"/>
  <c r="D20" i="6" l="1"/>
  <c r="D21" i="6"/>
  <c r="D23" i="6"/>
  <c r="G10" i="24" l="1"/>
  <c r="D19" i="6"/>
  <c r="D22" i="6"/>
  <c r="D26" i="6" l="1"/>
  <c r="D7" i="6" l="1"/>
  <c r="D8" i="6" l="1"/>
  <c r="C49" i="7" l="1"/>
  <c r="B49" i="7"/>
  <c r="D33" i="6"/>
  <c r="D34" i="6" s="1"/>
  <c r="B51" i="7" l="1"/>
</calcChain>
</file>

<file path=xl/sharedStrings.xml><?xml version="1.0" encoding="utf-8"?>
<sst xmlns="http://schemas.openxmlformats.org/spreadsheetml/2006/main" count="116" uniqueCount="85">
  <si>
    <t>31/03/2023</t>
  </si>
  <si>
    <t>Rs.</t>
  </si>
  <si>
    <t>Administration Expenses</t>
  </si>
  <si>
    <t>Trial Balance</t>
  </si>
  <si>
    <t>Dr</t>
  </si>
  <si>
    <t>Cr</t>
  </si>
  <si>
    <t>ADMINSTRATION EXPENSES</t>
  </si>
  <si>
    <t>Assets</t>
  </si>
  <si>
    <t>Bank accounts</t>
  </si>
  <si>
    <t>Share capital</t>
  </si>
  <si>
    <t>Total</t>
  </si>
  <si>
    <t>Finance Cost</t>
  </si>
  <si>
    <t>Income Tax Expense</t>
  </si>
  <si>
    <t>Page 9</t>
  </si>
  <si>
    <t>Revenue</t>
  </si>
  <si>
    <t xml:space="preserve">NOTES TO THE FINANCIAL STATEMENTS </t>
  </si>
  <si>
    <t>Printing &amp; Stationery</t>
  </si>
  <si>
    <t>Incorporation Fees</t>
  </si>
  <si>
    <t>Electricity</t>
  </si>
  <si>
    <t>Travelling Charges</t>
  </si>
  <si>
    <t>Audit Fee</t>
  </si>
  <si>
    <t>Current Tax Expense</t>
  </si>
  <si>
    <t>Telephone &amp; Internet</t>
  </si>
  <si>
    <t>Interest Income</t>
  </si>
  <si>
    <t>As at 31st March 2025</t>
  </si>
  <si>
    <t>Rent Expenses</t>
  </si>
  <si>
    <t>Fuel Expenses</t>
  </si>
  <si>
    <t>Amount</t>
  </si>
  <si>
    <t>Furniture &amp; Fittings</t>
  </si>
  <si>
    <t>Fixed Asset Register</t>
  </si>
  <si>
    <t>Asset</t>
  </si>
  <si>
    <t>Month of purchased</t>
  </si>
  <si>
    <t>Month starting Depreciation</t>
  </si>
  <si>
    <t xml:space="preserve">Depreciation Amount </t>
  </si>
  <si>
    <t>Rate</t>
  </si>
  <si>
    <t>Cash</t>
  </si>
  <si>
    <t>Accountany Fee</t>
  </si>
  <si>
    <t>Accumalated Deprecion</t>
  </si>
  <si>
    <t>Salaries &amp; Wages</t>
  </si>
  <si>
    <t xml:space="preserve">Electricity </t>
  </si>
  <si>
    <t xml:space="preserve">Office Rent </t>
  </si>
  <si>
    <t xml:space="preserve">Depreciation </t>
  </si>
  <si>
    <t>Accountancy Fee</t>
  </si>
  <si>
    <t>Income Tax</t>
  </si>
  <si>
    <t>Incorporation Fee</t>
  </si>
  <si>
    <t>Commission Income</t>
  </si>
  <si>
    <t>N K R S Lanka Capuital Pvt Ltd</t>
  </si>
  <si>
    <t>N K R S LANKA CAPITAL (PRIVATE) LIMITED</t>
  </si>
  <si>
    <t xml:space="preserve">Expenses </t>
  </si>
  <si>
    <t>Advertisment &amp; Sales Promotion</t>
  </si>
  <si>
    <t>Bad Debts</t>
  </si>
  <si>
    <t>Commission</t>
  </si>
  <si>
    <t>EPF &amp; Etf</t>
  </si>
  <si>
    <t>Rent</t>
  </si>
  <si>
    <t>Maintance &amp; Repair</t>
  </si>
  <si>
    <t xml:space="preserve">Phone &amp; Internet bills </t>
  </si>
  <si>
    <t>Company Incorporation fees</t>
  </si>
  <si>
    <t>Insurance</t>
  </si>
  <si>
    <t>Stationery &amp; Documents</t>
  </si>
  <si>
    <t>Income</t>
  </si>
  <si>
    <t>Office Equipment</t>
  </si>
  <si>
    <t>Bill Nu.</t>
  </si>
  <si>
    <t>Computer &amp; Printers</t>
  </si>
  <si>
    <t>Telephone</t>
  </si>
  <si>
    <t>CCTV Camera</t>
  </si>
  <si>
    <t>EPF &amp; ETF</t>
  </si>
  <si>
    <t>EPF20%</t>
  </si>
  <si>
    <t>EPF12%</t>
  </si>
  <si>
    <t>ETF3%</t>
  </si>
  <si>
    <t>EPF</t>
  </si>
  <si>
    <t>ETF</t>
  </si>
  <si>
    <t>5</t>
  </si>
  <si>
    <t>Date</t>
  </si>
  <si>
    <t>Sales Commission</t>
  </si>
  <si>
    <t>Repair &amp; Maintance</t>
  </si>
  <si>
    <t xml:space="preserve">Business Promotion &amp; Marketing Expneses </t>
  </si>
  <si>
    <t xml:space="preserve">EPF </t>
  </si>
  <si>
    <t>Dirtectors remuniration</t>
  </si>
  <si>
    <t xml:space="preserve">Motor Bike </t>
  </si>
  <si>
    <t>Check this</t>
  </si>
  <si>
    <t>FOR THE PERIOD ENDED 31ST MARCH</t>
  </si>
  <si>
    <t>Director Remuniration</t>
  </si>
  <si>
    <t>Office Repair &amp; Maintance</t>
  </si>
  <si>
    <t>Director C/A - Invetment</t>
  </si>
  <si>
    <t>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</si>
</sst>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0"/>
      <color rgb="FF000000"/>
      <name val="Trebuchet MS"/>
      <family val="2"/>
    </font>
    <font>
      <sz val="10"/>
      <color rgb="FF00000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b/>
      <i/>
      <sz val="10"/>
      <color rgb="FF000000"/>
      <name val="Trebuchet MS"/>
      <family val="2"/>
    </font>
    <font>
      <b/>
      <i/>
      <sz val="10"/>
      <name val="Trebuchet MS"/>
      <family val="2"/>
    </font>
    <font>
      <i/>
      <sz val="10"/>
      <name val="Trebuchet MS"/>
      <family val="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11" fillId="0" borderId="0" xfId="0" quotePrefix="1" applyFont="1" applyAlignment="1">
      <alignment horizontal="center"/>
    </xf>
    <xf numFmtId="0" fontId="9" fillId="0" borderId="0" xfId="19" applyNumberFormat="1" applyFont="1" applyFill="1" applyAlignment="1"/>
    <xf numFmtId="0" fontId="12" fillId="0" borderId="0" xfId="0" applyFont="1"/>
    <xf numFmtId="0" fontId="8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4" fillId="0" borderId="0" xfId="6" applyFont="1" applyAlignment="1">
      <alignment vertical="center"/>
    </xf>
    <xf numFmtId="0" fontId="9" fillId="0" borderId="0" xfId="5" applyFont="1" applyAlignment="1">
      <alignment horizontal="center" vertical="center"/>
    </xf>
    <xf numFmtId="0" fontId="9" fillId="0" borderId="0" xfId="5" applyFont="1" applyAlignment="1">
      <alignment horizontal="left" vertical="center"/>
    </xf>
    <xf numFmtId="165" fontId="8" fillId="0" borderId="0" xfId="4" applyNumberFormat="1" applyFont="1"/>
    <xf numFmtId="0" fontId="10" fillId="0" borderId="0" xfId="5" applyFont="1" applyAlignment="1">
      <alignment horizontal="left" vertical="center"/>
    </xf>
    <xf numFmtId="165" fontId="7" fillId="0" borderId="0" xfId="4" applyNumberFormat="1" applyFont="1" applyBorder="1"/>
    <xf numFmtId="165" fontId="8" fillId="0" borderId="0" xfId="4" applyNumberFormat="1" applyFont="1" applyBorder="1" applyProtection="1"/>
    <xf numFmtId="165" fontId="7" fillId="0" borderId="1" xfId="4" applyNumberFormat="1" applyFont="1" applyBorder="1"/>
    <xf numFmtId="165" fontId="7" fillId="0" borderId="0" xfId="4" applyNumberFormat="1" applyFont="1" applyBorder="1" applyProtection="1"/>
    <xf numFmtId="0" fontId="12" fillId="0" borderId="0" xfId="0" applyFont="1" applyAlignment="1">
      <alignment horizontal="center"/>
    </xf>
    <xf numFmtId="164" fontId="8" fillId="0" borderId="0" xfId="4" applyFont="1"/>
    <xf numFmtId="0" fontId="14" fillId="0" borderId="0" xfId="6" applyFont="1" applyAlignment="1">
      <alignment horizontal="left" vertical="center"/>
    </xf>
    <xf numFmtId="165" fontId="7" fillId="0" borderId="0" xfId="4" applyNumberFormat="1" applyFont="1" applyAlignment="1">
      <alignment horizontal="center"/>
    </xf>
    <xf numFmtId="164" fontId="7" fillId="0" borderId="0" xfId="4" applyFont="1" applyAlignment="1">
      <alignment horizontal="center"/>
    </xf>
    <xf numFmtId="164" fontId="8" fillId="0" borderId="0" xfId="4" applyFont="1" applyBorder="1" applyProtection="1"/>
    <xf numFmtId="165" fontId="7" fillId="0" borderId="1" xfId="4" applyNumberFormat="1" applyFont="1" applyBorder="1" applyProtection="1"/>
    <xf numFmtId="9" fontId="8" fillId="0" borderId="0" xfId="9" applyFont="1" applyFill="1" applyBorder="1" applyProtection="1"/>
    <xf numFmtId="43" fontId="8" fillId="0" borderId="0" xfId="1" applyFont="1" applyFill="1"/>
    <xf numFmtId="164" fontId="8" fillId="0" borderId="0" xfId="4" applyFont="1" applyBorder="1"/>
    <xf numFmtId="0" fontId="8" fillId="0" borderId="0" xfId="0" applyFont="1" applyAlignment="1">
      <alignment horizontal="center" vertical="center"/>
    </xf>
    <xf numFmtId="165" fontId="8" fillId="0" borderId="0" xfId="0" applyNumberFormat="1" applyFont="1"/>
    <xf numFmtId="164" fontId="8" fillId="0" borderId="0" xfId="0" applyNumberFormat="1" applyFont="1"/>
    <xf numFmtId="0" fontId="15" fillId="0" borderId="0" xfId="6" applyFont="1" applyAlignment="1">
      <alignment vertical="center"/>
    </xf>
    <xf numFmtId="43" fontId="7" fillId="0" borderId="0" xfId="1" applyFont="1" applyFill="1" applyAlignment="1">
      <alignment horizontal="center"/>
    </xf>
    <xf numFmtId="166" fontId="16" fillId="0" borderId="0" xfId="1" applyNumberFormat="1" applyFont="1" applyFill="1" applyAlignment="1">
      <alignment horizontal="center" vertical="top"/>
    </xf>
    <xf numFmtId="166" fontId="17" fillId="0" borderId="0" xfId="1" applyNumberFormat="1" applyFont="1" applyFill="1" applyAlignment="1">
      <alignment vertical="top"/>
    </xf>
    <xf numFmtId="166" fontId="17" fillId="0" borderId="1" xfId="1" applyNumberFormat="1" applyFont="1" applyFill="1" applyBorder="1" applyAlignment="1">
      <alignment vertical="top"/>
    </xf>
    <xf numFmtId="166" fontId="17" fillId="0" borderId="0" xfId="1" applyNumberFormat="1" applyFont="1" applyFill="1" applyBorder="1"/>
    <xf numFmtId="166" fontId="18" fillId="0" borderId="0" xfId="1" applyNumberFormat="1" applyFont="1" applyFill="1" applyAlignment="1">
      <alignment vertical="top"/>
    </xf>
    <xf numFmtId="43" fontId="8" fillId="0" borderId="0" xfId="1" applyFont="1" applyFill="1" applyAlignment="1">
      <alignment horizontal="center"/>
    </xf>
    <xf numFmtId="43" fontId="8" fillId="0" borderId="1" xfId="1" applyFont="1" applyFill="1" applyBorder="1"/>
    <xf numFmtId="43" fontId="8" fillId="0" borderId="1" xfId="1" applyFont="1" applyFill="1" applyBorder="1" applyAlignment="1">
      <alignment horizontal="center"/>
    </xf>
    <xf numFmtId="43" fontId="8" fillId="0" borderId="0" xfId="1" applyFont="1" applyFill="1" applyBorder="1" applyAlignment="1">
      <alignment vertical="center"/>
    </xf>
    <xf numFmtId="43" fontId="8" fillId="0" borderId="0" xfId="1" applyFont="1" applyFill="1" applyBorder="1"/>
    <xf numFmtId="166" fontId="19" fillId="0" borderId="0" xfId="1" applyNumberFormat="1" applyFont="1" applyFill="1" applyAlignment="1">
      <alignment vertical="top"/>
    </xf>
    <xf numFmtId="0" fontId="10" fillId="0" borderId="2" xfId="5" applyFont="1" applyBorder="1" applyAlignment="1">
      <alignment horizontal="center" vertical="center"/>
    </xf>
    <xf numFmtId="0" fontId="10" fillId="0" borderId="2" xfId="5" applyFont="1" applyBorder="1" applyAlignment="1">
      <alignment horizontal="left" vertical="center" wrapText="1"/>
    </xf>
    <xf numFmtId="0" fontId="10" fillId="0" borderId="2" xfId="5" applyFont="1" applyBorder="1" applyAlignment="1">
      <alignment horizontal="left" vertical="center"/>
    </xf>
    <xf numFmtId="17" fontId="10" fillId="0" borderId="2" xfId="5" applyNumberFormat="1" applyFont="1" applyBorder="1" applyAlignment="1">
      <alignment horizontal="left" vertical="center"/>
    </xf>
    <xf numFmtId="43" fontId="10" fillId="0" borderId="2" xfId="1" applyFont="1" applyBorder="1" applyAlignment="1">
      <alignment horizontal="left" vertical="center"/>
    </xf>
    <xf numFmtId="43" fontId="10" fillId="0" borderId="2" xfId="5" applyNumberFormat="1" applyFont="1" applyBorder="1" applyAlignment="1">
      <alignment horizontal="left" vertical="center"/>
    </xf>
    <xf numFmtId="43" fontId="9" fillId="0" borderId="2" xfId="5" applyNumberFormat="1" applyFont="1" applyBorder="1" applyAlignment="1">
      <alignment horizontal="left" vertical="center"/>
    </xf>
    <xf numFmtId="166" fontId="9" fillId="0" borderId="0" xfId="19" applyNumberFormat="1" applyFont="1" applyFill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left" vertical="top"/>
    </xf>
    <xf numFmtId="166" fontId="16" fillId="0" borderId="0" xfId="0" applyNumberFormat="1" applyFont="1" applyAlignment="1">
      <alignment horizontal="center" vertical="top"/>
    </xf>
    <xf numFmtId="0" fontId="16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43" fontId="17" fillId="0" borderId="0" xfId="0" applyNumberFormat="1" applyFont="1"/>
    <xf numFmtId="0" fontId="17" fillId="0" borderId="0" xfId="0" applyFont="1" applyAlignment="1">
      <alignment horizontal="left"/>
    </xf>
    <xf numFmtId="0" fontId="16" fillId="0" borderId="0" xfId="0" applyFont="1" applyAlignment="1">
      <alignment vertical="top"/>
    </xf>
    <xf numFmtId="166" fontId="17" fillId="0" borderId="0" xfId="0" applyNumberFormat="1" applyFont="1"/>
    <xf numFmtId="43" fontId="0" fillId="0" borderId="0" xfId="1" applyFont="1"/>
    <xf numFmtId="43" fontId="10" fillId="0" borderId="0" xfId="5" applyNumberFormat="1" applyFont="1" applyAlignment="1">
      <alignment horizontal="left" vertical="center"/>
    </xf>
    <xf numFmtId="17" fontId="0" fillId="0" borderId="0" xfId="0" applyNumberFormat="1"/>
    <xf numFmtId="43" fontId="0" fillId="0" borderId="1" xfId="1" applyFont="1" applyBorder="1"/>
    <xf numFmtId="43" fontId="0" fillId="2" borderId="1" xfId="1" applyFont="1" applyFill="1" applyBorder="1"/>
    <xf numFmtId="43" fontId="0" fillId="2" borderId="0" xfId="1" applyFont="1" applyFill="1"/>
    <xf numFmtId="166" fontId="10" fillId="0" borderId="2" xfId="1" quotePrefix="1" applyNumberFormat="1" applyFont="1" applyBorder="1" applyAlignment="1">
      <alignment horizontal="center" vertical="center"/>
    </xf>
    <xf numFmtId="166" fontId="17" fillId="2" borderId="0" xfId="1" applyNumberFormat="1" applyFont="1" applyFill="1" applyAlignment="1">
      <alignment vertical="top"/>
    </xf>
    <xf numFmtId="166" fontId="18" fillId="2" borderId="0" xfId="1" applyNumberFormat="1" applyFont="1" applyFill="1"/>
    <xf numFmtId="166" fontId="20" fillId="2" borderId="0" xfId="1" applyNumberFormat="1" applyFont="1" applyFill="1" applyAlignment="1">
      <alignment vertical="top"/>
    </xf>
    <xf numFmtId="43" fontId="17" fillId="2" borderId="0" xfId="1" applyFont="1" applyFill="1"/>
    <xf numFmtId="166" fontId="17" fillId="0" borderId="0" xfId="1" applyNumberFormat="1" applyFont="1" applyFill="1" applyAlignment="1">
      <alignment vertical="top"/>
    </xf>
    <xf numFmtId="166" fontId="17" fillId="2" borderId="0" xfId="1" applyNumberFormat="1" applyFont="1" applyFill="1" applyAlignment="1">
      <alignment vertical="top"/>
    </xf>
    <xf numFmtId="166" fontId="18" fillId="0" borderId="0" xfId="1" applyNumberFormat="1" applyFont="1" applyFill="1" applyAlignment="1">
      <alignment vertical="top"/>
    </xf>
    <xf numFmtId="0" fontId="17" fillId="0" borderId="0" xfId="0" applyFont="1"/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center" vertical="top"/>
    </xf>
  </cellXfs>
  <cellStyles count="22">
    <cellStyle name="Comma" xfId="1" builtinId="3"/>
    <cellStyle name="Comma 10" xfId="11" xr:uid="{00000000-0005-0000-0000-000001000000}"/>
    <cellStyle name="Comma 10 10" xfId="4" xr:uid="{00000000-0005-0000-0000-000002000000}"/>
    <cellStyle name="Comma 10 2 2" xfId="14" xr:uid="{00000000-0005-0000-0000-000003000000}"/>
    <cellStyle name="Comma 2" xfId="21" xr:uid="{00000000-0005-0000-0000-000004000000}"/>
    <cellStyle name="Comma 2 2 11" xfId="18" xr:uid="{00000000-0005-0000-0000-000005000000}"/>
    <cellStyle name="Comma 3" xfId="19" xr:uid="{00000000-0005-0000-0000-000006000000}"/>
    <cellStyle name="Normal" xfId="0" builtinId="0"/>
    <cellStyle name="Normal 13 11 2" xfId="3" xr:uid="{00000000-0005-0000-0000-000008000000}"/>
    <cellStyle name="Normal 2" xfId="10" xr:uid="{00000000-0005-0000-0000-000009000000}"/>
    <cellStyle name="Normal 2 10 2" xfId="16" xr:uid="{00000000-0005-0000-0000-00000A000000}"/>
    <cellStyle name="Normal 2 2 10" xfId="6" xr:uid="{00000000-0005-0000-0000-00000B000000}"/>
    <cellStyle name="Normal 2 2 2" xfId="17" xr:uid="{00000000-0005-0000-0000-00000C000000}"/>
    <cellStyle name="Normal 2 7 3" xfId="13" xr:uid="{00000000-0005-0000-0000-00000D000000}"/>
    <cellStyle name="Normal 3" xfId="15" xr:uid="{00000000-0005-0000-0000-00000E000000}"/>
    <cellStyle name="Normal 7" xfId="20" xr:uid="{00000000-0005-0000-0000-00000F000000}"/>
    <cellStyle name="Normal 86" xfId="2" xr:uid="{00000000-0005-0000-0000-000010000000}"/>
    <cellStyle name="Normal 87" xfId="5" xr:uid="{00000000-0005-0000-0000-000011000000}"/>
    <cellStyle name="Normal 88" xfId="7" xr:uid="{00000000-0005-0000-0000-000012000000}"/>
    <cellStyle name="Normal 89" xfId="8" xr:uid="{00000000-0005-0000-0000-000013000000}"/>
    <cellStyle name="Percent" xfId="9" builtinId="5"/>
    <cellStyle name="Percent 2" xfId="1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223760" y="56692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ifraz\Home%20Makers\1516\Home%20Makers%2015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P&amp;L"/>
      <sheetName val="B S"/>
      <sheetName val="ES"/>
      <sheetName val="CF"/>
      <sheetName val="Notes"/>
      <sheetName val="Com &amp; Aj Pro"/>
      <sheetName val="Cap Allo"/>
      <sheetName val="Deem Dividend"/>
    </sheetNames>
    <sheetDataSet>
      <sheetData sheetId="0">
        <row r="1">
          <cell r="A1" t="str">
            <v>HOME MAKERS (PVT) LTD</v>
          </cell>
        </row>
      </sheetData>
      <sheetData sheetId="1">
        <row r="2">
          <cell r="A2" t="str">
            <v>HOME MAKERS (PVT) LTD</v>
          </cell>
        </row>
      </sheetData>
      <sheetData sheetId="2">
        <row r="14">
          <cell r="A14" t="str">
            <v>Housing Stock</v>
          </cell>
        </row>
      </sheetData>
      <sheetData sheetId="3">
        <row r="2">
          <cell r="A2" t="str">
            <v>HOME MAKERS (PVT) LTD</v>
          </cell>
        </row>
      </sheetData>
      <sheetData sheetId="4">
        <row r="2">
          <cell r="A2" t="str">
            <v>HOME MAKERS (PVT) LTD</v>
          </cell>
        </row>
      </sheetData>
      <sheetData sheetId="5">
        <row r="2">
          <cell r="A2" t="str">
            <v>HOME MAKERS (PVT) LTD</v>
          </cell>
        </row>
      </sheetData>
      <sheetData sheetId="6">
        <row r="3">
          <cell r="A3" t="str">
            <v>HOME MAKERS (PVT) LTD</v>
          </cell>
        </row>
      </sheetData>
      <sheetData sheetId="7">
        <row r="23">
          <cell r="F23">
            <v>835838.8395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892F-AAEE-406A-B210-88FFD7BA3981}">
  <sheetPr codeName="Sheet1"/>
  <dimension ref="A1:B3"/>
  <sheetViews>
    <sheetView workbookViewId="0">
      <selection activeCell="A2" sqref="A2"/>
    </sheetView>
  </sheetViews>
  <sheetFormatPr defaultRowHeight="14.4" x14ac:dyDescent="0.3"/>
  <cols>
    <col min="1" max="1" width="12" customWidth="1"/>
    <col min="2" max="2" width="11.109375" style="63" bestFit="1" customWidth="1"/>
  </cols>
  <sheetData>
    <row r="1" spans="1:2" x14ac:dyDescent="0.3">
      <c r="A1" t="s">
        <v>79</v>
      </c>
    </row>
    <row r="2" spans="1:2" x14ac:dyDescent="0.3">
      <c r="A2" t="s">
        <v>78</v>
      </c>
      <c r="B2" s="63">
        <v>210000</v>
      </c>
    </row>
    <row r="3" spans="1:2" x14ac:dyDescent="0.3">
      <c r="A3" t="s">
        <v>57</v>
      </c>
      <c r="B3" s="63">
        <v>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:I12"/>
  <sheetViews>
    <sheetView workbookViewId="0">
      <selection activeCell="D10" sqref="D10"/>
    </sheetView>
  </sheetViews>
  <sheetFormatPr defaultRowHeight="14.4" x14ac:dyDescent="0.3"/>
  <cols>
    <col min="1" max="1" width="19.109375" style="15" bestFit="1" customWidth="1"/>
    <col min="2" max="2" width="11.77734375" style="15" customWidth="1"/>
    <col min="3" max="3" width="11.6640625" style="15" bestFit="1" customWidth="1"/>
    <col min="4" max="4" width="12.5546875" style="15" bestFit="1" customWidth="1"/>
    <col min="5" max="5" width="14.6640625" style="15" customWidth="1"/>
    <col min="6" max="6" width="12" style="15" customWidth="1"/>
    <col min="7" max="7" width="12.5546875" style="15" customWidth="1"/>
    <col min="8" max="8" width="8.88671875" style="15"/>
    <col min="9" max="9" width="10.6640625" style="15" bestFit="1" customWidth="1"/>
    <col min="10" max="16384" width="8.88671875" style="15"/>
  </cols>
  <sheetData>
    <row r="1" spans="1:9" x14ac:dyDescent="0.3">
      <c r="A1" s="13" t="s">
        <v>29</v>
      </c>
      <c r="C1" s="13"/>
    </row>
    <row r="3" spans="1:9" ht="28.8" x14ac:dyDescent="0.3">
      <c r="A3" s="46" t="s">
        <v>30</v>
      </c>
      <c r="B3" s="47" t="s">
        <v>31</v>
      </c>
      <c r="C3" s="46" t="s">
        <v>34</v>
      </c>
      <c r="D3" s="48" t="s">
        <v>27</v>
      </c>
      <c r="E3" s="47" t="s">
        <v>32</v>
      </c>
      <c r="F3" s="47" t="s">
        <v>72</v>
      </c>
      <c r="G3" s="47" t="s">
        <v>33</v>
      </c>
    </row>
    <row r="4" spans="1:9" x14ac:dyDescent="0.3">
      <c r="A4" s="48" t="str">
        <f>+Working!A20</f>
        <v>Furniture &amp; Fittings</v>
      </c>
      <c r="B4" s="49">
        <v>45385</v>
      </c>
      <c r="C4" s="69" t="s">
        <v>71</v>
      </c>
      <c r="D4" s="50">
        <f>+Working!B20</f>
        <v>153700</v>
      </c>
      <c r="E4" s="49">
        <v>45728</v>
      </c>
      <c r="F4" s="50">
        <f t="shared" ref="F4:F9" si="0">E4-B4</f>
        <v>343</v>
      </c>
      <c r="G4" s="51">
        <f t="shared" ref="G4:G9" si="1">(D4/5)*(F4/365)</f>
        <v>28887.178082191782</v>
      </c>
      <c r="I4" s="64"/>
    </row>
    <row r="5" spans="1:9" x14ac:dyDescent="0.3">
      <c r="A5" s="48" t="str">
        <f>+Working!A21</f>
        <v>Office Equipment</v>
      </c>
      <c r="B5" s="49">
        <v>45388</v>
      </c>
      <c r="C5" s="69" t="s">
        <v>71</v>
      </c>
      <c r="D5" s="50">
        <f>+Working!B21</f>
        <v>4600</v>
      </c>
      <c r="E5" s="49">
        <v>45728</v>
      </c>
      <c r="F5" s="50">
        <f t="shared" si="0"/>
        <v>340</v>
      </c>
      <c r="G5" s="51">
        <f t="shared" si="1"/>
        <v>856.98630136986299</v>
      </c>
    </row>
    <row r="6" spans="1:9" x14ac:dyDescent="0.3">
      <c r="A6" s="48" t="str">
        <f>+Working!A22</f>
        <v>Computer &amp; Printers</v>
      </c>
      <c r="B6" s="49">
        <v>45410</v>
      </c>
      <c r="C6" s="69" t="s">
        <v>71</v>
      </c>
      <c r="D6" s="50">
        <f>+Working!B22</f>
        <v>35000</v>
      </c>
      <c r="E6" s="49">
        <v>45728</v>
      </c>
      <c r="F6" s="50">
        <f t="shared" si="0"/>
        <v>318</v>
      </c>
      <c r="G6" s="51">
        <f t="shared" si="1"/>
        <v>6098.6301369863013</v>
      </c>
    </row>
    <row r="7" spans="1:9" x14ac:dyDescent="0.3">
      <c r="A7" s="48" t="str">
        <f>+Working!A23</f>
        <v>Furniture &amp; Fittings</v>
      </c>
      <c r="B7" s="49">
        <v>45410</v>
      </c>
      <c r="C7" s="69" t="s">
        <v>71</v>
      </c>
      <c r="D7" s="50">
        <f>+Working!B23</f>
        <v>82500</v>
      </c>
      <c r="E7" s="49">
        <v>45728</v>
      </c>
      <c r="F7" s="50">
        <f t="shared" si="0"/>
        <v>318</v>
      </c>
      <c r="G7" s="51">
        <f t="shared" si="1"/>
        <v>14375.342465753425</v>
      </c>
    </row>
    <row r="8" spans="1:9" x14ac:dyDescent="0.3">
      <c r="A8" s="48" t="str">
        <f>+Working!A24</f>
        <v>Telephone</v>
      </c>
      <c r="B8" s="49">
        <v>45389</v>
      </c>
      <c r="C8" s="69" t="s">
        <v>71</v>
      </c>
      <c r="D8" s="50">
        <f>+Working!B24</f>
        <v>36340</v>
      </c>
      <c r="E8" s="49">
        <v>45728</v>
      </c>
      <c r="F8" s="50">
        <f t="shared" si="0"/>
        <v>339</v>
      </c>
      <c r="G8" s="51">
        <f t="shared" si="1"/>
        <v>6750.2794520547941</v>
      </c>
    </row>
    <row r="9" spans="1:9" x14ac:dyDescent="0.3">
      <c r="A9" s="48" t="str">
        <f>+Working!A25</f>
        <v>CCTV Camera</v>
      </c>
      <c r="B9" s="49">
        <v>45410</v>
      </c>
      <c r="C9" s="69" t="s">
        <v>71</v>
      </c>
      <c r="D9" s="50">
        <f>+Working!B25</f>
        <v>23690</v>
      </c>
      <c r="E9" s="49">
        <v>45728</v>
      </c>
      <c r="F9" s="50">
        <f t="shared" si="0"/>
        <v>318</v>
      </c>
      <c r="G9" s="51">
        <f t="shared" si="1"/>
        <v>4127.9013698630133</v>
      </c>
    </row>
    <row r="10" spans="1:9" x14ac:dyDescent="0.3">
      <c r="A10" s="48"/>
      <c r="B10" s="48"/>
      <c r="C10" s="48"/>
      <c r="D10" s="52">
        <f>SUM(D4:D9)</f>
        <v>335830</v>
      </c>
      <c r="E10" s="48"/>
      <c r="F10" s="48"/>
      <c r="G10" s="52">
        <f>SUM(G4:G9)</f>
        <v>61096.317808219188</v>
      </c>
    </row>
    <row r="12" spans="1:9" x14ac:dyDescent="0.3">
      <c r="D12" s="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91A8-AC8E-4BB6-A21B-06A29BC55837}">
  <sheetPr codeName="Sheet3"/>
  <dimension ref="A2:D34"/>
  <sheetViews>
    <sheetView topLeftCell="A13" workbookViewId="0">
      <selection activeCell="D33" sqref="D33"/>
    </sheetView>
  </sheetViews>
  <sheetFormatPr defaultRowHeight="14.4" x14ac:dyDescent="0.3"/>
  <cols>
    <col min="1" max="1" width="27.6640625" bestFit="1" customWidth="1"/>
    <col min="2" max="2" width="12.5546875" bestFit="1" customWidth="1"/>
    <col min="3" max="3" width="10.109375" bestFit="1" customWidth="1"/>
  </cols>
  <sheetData>
    <row r="2" spans="1:2" x14ac:dyDescent="0.3">
      <c r="A2" t="s">
        <v>23</v>
      </c>
      <c r="B2" s="63">
        <v>2328236</v>
      </c>
    </row>
    <row r="3" spans="1:2" x14ac:dyDescent="0.3">
      <c r="B3" s="63"/>
    </row>
    <row r="4" spans="1:2" x14ac:dyDescent="0.3">
      <c r="A4" t="s">
        <v>48</v>
      </c>
      <c r="B4" s="63"/>
    </row>
    <row r="5" spans="1:2" x14ac:dyDescent="0.3">
      <c r="A5" t="s">
        <v>49</v>
      </c>
      <c r="B5" s="68">
        <v>99975</v>
      </c>
    </row>
    <row r="6" spans="1:2" x14ac:dyDescent="0.3">
      <c r="A6" t="s">
        <v>50</v>
      </c>
      <c r="B6" s="63">
        <v>163480</v>
      </c>
    </row>
    <row r="7" spans="1:2" x14ac:dyDescent="0.3">
      <c r="A7" t="s">
        <v>51</v>
      </c>
      <c r="B7" s="68">
        <v>11000</v>
      </c>
    </row>
    <row r="8" spans="1:2" x14ac:dyDescent="0.3">
      <c r="A8" t="s">
        <v>38</v>
      </c>
      <c r="B8" s="68">
        <v>900750</v>
      </c>
    </row>
    <row r="9" spans="1:2" x14ac:dyDescent="0.3">
      <c r="A9" t="s">
        <v>52</v>
      </c>
      <c r="B9" s="63">
        <v>16522</v>
      </c>
    </row>
    <row r="10" spans="1:2" x14ac:dyDescent="0.3">
      <c r="A10" t="s">
        <v>53</v>
      </c>
      <c r="B10" s="68">
        <v>171150</v>
      </c>
    </row>
    <row r="11" spans="1:2" x14ac:dyDescent="0.3">
      <c r="A11" t="s">
        <v>54</v>
      </c>
      <c r="B11" s="68">
        <v>71672.5</v>
      </c>
    </row>
    <row r="12" spans="1:2" x14ac:dyDescent="0.3">
      <c r="A12" t="s">
        <v>18</v>
      </c>
      <c r="B12" s="68">
        <v>13070</v>
      </c>
    </row>
    <row r="13" spans="1:2" x14ac:dyDescent="0.3">
      <c r="A13" t="s">
        <v>55</v>
      </c>
      <c r="B13" s="68">
        <v>45597</v>
      </c>
    </row>
    <row r="14" spans="1:2" x14ac:dyDescent="0.3">
      <c r="A14" t="s">
        <v>56</v>
      </c>
      <c r="B14" s="68">
        <v>60000</v>
      </c>
    </row>
    <row r="15" spans="1:2" x14ac:dyDescent="0.3">
      <c r="A15" t="s">
        <v>57</v>
      </c>
      <c r="B15" s="68">
        <v>10500</v>
      </c>
    </row>
    <row r="16" spans="1:2" x14ac:dyDescent="0.3">
      <c r="A16" t="s">
        <v>58</v>
      </c>
      <c r="B16" s="68">
        <v>94812</v>
      </c>
    </row>
    <row r="17" spans="1:4" x14ac:dyDescent="0.3">
      <c r="B17" s="63"/>
    </row>
    <row r="18" spans="1:4" x14ac:dyDescent="0.3">
      <c r="B18" s="63"/>
    </row>
    <row r="19" spans="1:4" x14ac:dyDescent="0.3">
      <c r="C19" t="s">
        <v>61</v>
      </c>
    </row>
    <row r="20" spans="1:4" x14ac:dyDescent="0.3">
      <c r="A20" t="s">
        <v>28</v>
      </c>
      <c r="B20" s="63">
        <v>153700</v>
      </c>
      <c r="C20">
        <v>520</v>
      </c>
    </row>
    <row r="21" spans="1:4" x14ac:dyDescent="0.3">
      <c r="A21" t="s">
        <v>60</v>
      </c>
      <c r="B21" s="63">
        <v>4600</v>
      </c>
      <c r="C21">
        <v>1019</v>
      </c>
    </row>
    <row r="22" spans="1:4" x14ac:dyDescent="0.3">
      <c r="A22" t="s">
        <v>62</v>
      </c>
      <c r="B22" s="63">
        <v>35000</v>
      </c>
      <c r="C22">
        <v>1039</v>
      </c>
    </row>
    <row r="23" spans="1:4" x14ac:dyDescent="0.3">
      <c r="A23" t="s">
        <v>28</v>
      </c>
      <c r="B23" s="63">
        <v>82500</v>
      </c>
      <c r="C23">
        <v>525</v>
      </c>
    </row>
    <row r="24" spans="1:4" x14ac:dyDescent="0.3">
      <c r="A24" t="s">
        <v>63</v>
      </c>
      <c r="B24" s="63">
        <v>36340</v>
      </c>
      <c r="C24">
        <v>1020</v>
      </c>
    </row>
    <row r="25" spans="1:4" x14ac:dyDescent="0.3">
      <c r="A25" t="s">
        <v>64</v>
      </c>
      <c r="B25" s="63">
        <f>3990+16500+3200</f>
        <v>23690</v>
      </c>
      <c r="C25">
        <v>1039</v>
      </c>
    </row>
    <row r="26" spans="1:4" x14ac:dyDescent="0.3">
      <c r="B26" s="63"/>
    </row>
    <row r="27" spans="1:4" x14ac:dyDescent="0.3">
      <c r="A27" t="s">
        <v>65</v>
      </c>
      <c r="B27" t="s">
        <v>66</v>
      </c>
      <c r="C27" t="s">
        <v>67</v>
      </c>
      <c r="D27" t="s">
        <v>68</v>
      </c>
    </row>
    <row r="28" spans="1:4" x14ac:dyDescent="0.3">
      <c r="A28" s="65">
        <v>45597</v>
      </c>
      <c r="B28" s="63">
        <v>4200</v>
      </c>
      <c r="C28" s="63">
        <f>B28*12/20</f>
        <v>2520</v>
      </c>
      <c r="D28" s="63">
        <f>C28*3/12</f>
        <v>630</v>
      </c>
    </row>
    <row r="29" spans="1:4" x14ac:dyDescent="0.3">
      <c r="A29" s="65">
        <v>45627</v>
      </c>
      <c r="B29" s="63">
        <v>4200</v>
      </c>
      <c r="C29" s="63">
        <f>B29*12/20</f>
        <v>2520</v>
      </c>
      <c r="D29" s="63">
        <f>C29*3/12</f>
        <v>630</v>
      </c>
    </row>
    <row r="30" spans="1:4" x14ac:dyDescent="0.3">
      <c r="A30" s="65">
        <v>45658</v>
      </c>
      <c r="B30" s="63">
        <v>4200</v>
      </c>
      <c r="C30" s="63">
        <f>B30*12/20</f>
        <v>2520</v>
      </c>
      <c r="D30" s="63">
        <f>C30*3/12</f>
        <v>630</v>
      </c>
    </row>
    <row r="31" spans="1:4" x14ac:dyDescent="0.3">
      <c r="A31" s="65">
        <v>45689</v>
      </c>
      <c r="B31" s="63">
        <v>4200</v>
      </c>
      <c r="C31" s="63">
        <f>B31*12/20</f>
        <v>2520</v>
      </c>
      <c r="D31" s="63">
        <f>C31*3/12</f>
        <v>630</v>
      </c>
    </row>
    <row r="32" spans="1:4" x14ac:dyDescent="0.3">
      <c r="A32" s="65">
        <v>45717</v>
      </c>
      <c r="B32" s="68">
        <v>4200</v>
      </c>
      <c r="C32" s="63">
        <f>B32*12/20</f>
        <v>2520</v>
      </c>
      <c r="D32" s="68">
        <f>C32*3/12</f>
        <v>630</v>
      </c>
    </row>
    <row r="33" spans="1:4" ht="15" thickBot="1" x14ac:dyDescent="0.35">
      <c r="A33" t="s">
        <v>10</v>
      </c>
      <c r="B33" s="66">
        <f>SUM(B28:B32)</f>
        <v>21000</v>
      </c>
      <c r="C33" s="67">
        <f>SUM(C28:C32)</f>
        <v>12600</v>
      </c>
      <c r="D33" s="67">
        <f>SUM(D28:D32)</f>
        <v>3150</v>
      </c>
    </row>
    <row r="34" spans="1:4" ht="15" thickTop="1" x14ac:dyDescent="0.3">
      <c r="B34" s="63"/>
      <c r="C34" s="63"/>
      <c r="D34" s="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J51"/>
  <sheetViews>
    <sheetView topLeftCell="A37" workbookViewId="0">
      <selection activeCell="D25" sqref="D25"/>
    </sheetView>
  </sheetViews>
  <sheetFormatPr defaultColWidth="9.109375" defaultRowHeight="13.8" x14ac:dyDescent="0.25"/>
  <cols>
    <col min="1" max="1" width="42.109375" style="60" bestFit="1" customWidth="1"/>
    <col min="2" max="2" width="14.33203125" style="38" bestFit="1" customWidth="1"/>
    <col min="3" max="3" width="14.33203125" style="62" bestFit="1" customWidth="1"/>
    <col min="4" max="4" width="11.5546875" style="54" bestFit="1" customWidth="1"/>
    <col min="5" max="9" width="9.109375" style="54"/>
    <col min="10" max="10" width="11.5546875" style="54" bestFit="1" customWidth="1"/>
    <col min="11" max="16384" width="9.109375" style="54"/>
  </cols>
  <sheetData>
    <row r="1" spans="1:10" x14ac:dyDescent="0.25">
      <c r="A1" s="79" t="s">
        <v>46</v>
      </c>
      <c r="B1" s="79"/>
      <c r="C1" s="79"/>
    </row>
    <row r="2" spans="1:10" x14ac:dyDescent="0.25">
      <c r="A2" s="79" t="s">
        <v>3</v>
      </c>
      <c r="B2" s="79"/>
      <c r="C2" s="79"/>
    </row>
    <row r="3" spans="1:10" x14ac:dyDescent="0.25">
      <c r="A3" s="79" t="s">
        <v>24</v>
      </c>
      <c r="B3" s="79"/>
      <c r="C3" s="79"/>
    </row>
    <row r="4" spans="1:10" x14ac:dyDescent="0.25">
      <c r="A4" s="55"/>
      <c r="B4" s="56" t="s">
        <v>4</v>
      </c>
      <c r="C4" s="35" t="s">
        <v>5</v>
      </c>
    </row>
    <row r="5" spans="1:10" x14ac:dyDescent="0.25">
      <c r="A5" s="57" t="s">
        <v>8</v>
      </c>
      <c r="B5" s="36"/>
      <c r="C5" s="36"/>
    </row>
    <row r="6" spans="1:10" x14ac:dyDescent="0.25">
      <c r="A6" s="58" t="s">
        <v>35</v>
      </c>
      <c r="B6" s="72">
        <v>12560</v>
      </c>
      <c r="C6" s="36"/>
    </row>
    <row r="7" spans="1:10" x14ac:dyDescent="0.25">
      <c r="A7" s="58"/>
      <c r="B7" s="45"/>
      <c r="C7" s="36"/>
    </row>
    <row r="8" spans="1:10" x14ac:dyDescent="0.25">
      <c r="A8" s="57" t="s">
        <v>7</v>
      </c>
      <c r="B8" s="36"/>
      <c r="C8" s="36"/>
      <c r="J8" s="59"/>
    </row>
    <row r="9" spans="1:10" x14ac:dyDescent="0.25">
      <c r="A9" s="58" t="s">
        <v>28</v>
      </c>
      <c r="B9" s="70">
        <f>+PPE!D4</f>
        <v>153700</v>
      </c>
      <c r="C9" s="36"/>
      <c r="J9" s="59"/>
    </row>
    <row r="10" spans="1:10" x14ac:dyDescent="0.25">
      <c r="A10" s="58" t="s">
        <v>60</v>
      </c>
      <c r="B10" s="70">
        <f>+PPE!D5</f>
        <v>4600</v>
      </c>
      <c r="C10" s="36"/>
      <c r="J10" s="59"/>
    </row>
    <row r="11" spans="1:10" x14ac:dyDescent="0.25">
      <c r="A11" s="58" t="s">
        <v>62</v>
      </c>
      <c r="B11" s="70">
        <f>+PPE!D6</f>
        <v>35000</v>
      </c>
      <c r="C11" s="36"/>
    </row>
    <row r="12" spans="1:10" x14ac:dyDescent="0.25">
      <c r="A12" s="58" t="s">
        <v>28</v>
      </c>
      <c r="B12" s="70">
        <f>+PPE!D7</f>
        <v>82500</v>
      </c>
      <c r="C12" s="36"/>
    </row>
    <row r="13" spans="1:10" x14ac:dyDescent="0.25">
      <c r="A13" s="58" t="s">
        <v>63</v>
      </c>
      <c r="B13" s="70">
        <f>+PPE!D8</f>
        <v>36340</v>
      </c>
      <c r="C13" s="36"/>
    </row>
    <row r="14" spans="1:10" x14ac:dyDescent="0.25">
      <c r="A14" s="58" t="s">
        <v>64</v>
      </c>
      <c r="B14" s="70">
        <f>+PPE!D9</f>
        <v>23690</v>
      </c>
      <c r="C14" s="36"/>
    </row>
    <row r="15" spans="1:10" x14ac:dyDescent="0.25">
      <c r="A15" s="58" t="s">
        <v>37</v>
      </c>
      <c r="B15" s="36"/>
      <c r="C15" s="70">
        <f>+PPE!G10</f>
        <v>61096.317808219188</v>
      </c>
    </row>
    <row r="16" spans="1:10" x14ac:dyDescent="0.25">
      <c r="A16" s="58"/>
      <c r="B16" s="36"/>
      <c r="C16" s="36"/>
    </row>
    <row r="17" spans="1:5" x14ac:dyDescent="0.25">
      <c r="A17" s="58" t="s">
        <v>36</v>
      </c>
      <c r="B17" s="36"/>
      <c r="C17" s="70">
        <f>+B47</f>
        <v>15000</v>
      </c>
    </row>
    <row r="18" spans="1:5" x14ac:dyDescent="0.25">
      <c r="A18" s="58" t="s">
        <v>20</v>
      </c>
      <c r="B18" s="36"/>
      <c r="C18" s="70">
        <f>+B48</f>
        <v>25000</v>
      </c>
    </row>
    <row r="19" spans="1:5" x14ac:dyDescent="0.25">
      <c r="A19" s="58" t="s">
        <v>69</v>
      </c>
      <c r="B19" s="36"/>
      <c r="C19" s="70">
        <f>Working!B32</f>
        <v>4200</v>
      </c>
    </row>
    <row r="20" spans="1:5" x14ac:dyDescent="0.25">
      <c r="A20" s="58" t="s">
        <v>70</v>
      </c>
      <c r="B20" s="36"/>
      <c r="C20" s="70">
        <f>Working!D32</f>
        <v>630</v>
      </c>
      <c r="E20" s="62">
        <f>C20*20/3</f>
        <v>4200</v>
      </c>
    </row>
    <row r="21" spans="1:5" x14ac:dyDescent="0.25">
      <c r="A21" s="54"/>
      <c r="C21" s="39"/>
    </row>
    <row r="22" spans="1:5" x14ac:dyDescent="0.25">
      <c r="A22" s="58" t="s">
        <v>9</v>
      </c>
      <c r="B22" s="36"/>
      <c r="C22" s="70">
        <f>1000*6</f>
        <v>6000</v>
      </c>
    </row>
    <row r="23" spans="1:5" x14ac:dyDescent="0.25">
      <c r="A23" s="58" t="s">
        <v>83</v>
      </c>
      <c r="B23" s="36"/>
      <c r="C23" s="75">
        <v>1000000</v>
      </c>
    </row>
    <row r="24" spans="1:5" s="77" customFormat="1" x14ac:dyDescent="0.25">
      <c r="A24" s="78"/>
      <c r="B24" s="74"/>
      <c r="C24" s="76"/>
    </row>
    <row r="25" spans="1:5" s="77" customFormat="1" x14ac:dyDescent="0.25">
      <c r="A25" s="78"/>
      <c r="B25" s="74"/>
      <c r="C25" s="76"/>
    </row>
    <row r="26" spans="1:5" x14ac:dyDescent="0.25">
      <c r="A26" s="61" t="s">
        <v>84</v>
      </c>
      <c r="B26" s="73">
        <v>112919.5</v>
      </c>
      <c r="C26" s="36"/>
    </row>
    <row r="27" spans="1:5" x14ac:dyDescent="0.25">
      <c r="A27" s="58" t="s">
        <v>59</v>
      </c>
      <c r="B27" s="36"/>
      <c r="C27" s="71">
        <f>+Working!B2</f>
        <v>2328236</v>
      </c>
    </row>
    <row r="28" spans="1:5" x14ac:dyDescent="0.25">
      <c r="A28" s="57" t="s">
        <v>6</v>
      </c>
      <c r="B28" s="36"/>
      <c r="C28" s="36"/>
    </row>
    <row r="29" spans="1:5" x14ac:dyDescent="0.25">
      <c r="A29" s="58" t="s">
        <v>38</v>
      </c>
      <c r="B29" s="70">
        <f>Working!B8</f>
        <v>900750</v>
      </c>
      <c r="C29" s="36"/>
    </row>
    <row r="30" spans="1:5" x14ac:dyDescent="0.25">
      <c r="A30" s="58" t="s">
        <v>77</v>
      </c>
      <c r="B30" s="70">
        <v>1220000</v>
      </c>
      <c r="C30" s="36"/>
    </row>
    <row r="31" spans="1:5" ht="14.4" x14ac:dyDescent="0.3">
      <c r="A31" t="s">
        <v>49</v>
      </c>
      <c r="B31" s="70">
        <f>Working!B5</f>
        <v>99975</v>
      </c>
      <c r="C31" s="36"/>
    </row>
    <row r="32" spans="1:5" x14ac:dyDescent="0.25">
      <c r="A32" s="58" t="s">
        <v>73</v>
      </c>
      <c r="B32" s="70">
        <f>Working!B7</f>
        <v>11000</v>
      </c>
      <c r="C32" s="36"/>
    </row>
    <row r="33" spans="1:3" x14ac:dyDescent="0.25">
      <c r="A33" s="58" t="s">
        <v>25</v>
      </c>
      <c r="B33" s="70">
        <f>Working!B10</f>
        <v>171150</v>
      </c>
      <c r="C33" s="36"/>
    </row>
    <row r="34" spans="1:3" x14ac:dyDescent="0.25">
      <c r="A34" s="58" t="s">
        <v>69</v>
      </c>
      <c r="B34" s="70">
        <f>+Working!C33</f>
        <v>12600</v>
      </c>
      <c r="C34" s="36"/>
    </row>
    <row r="35" spans="1:3" x14ac:dyDescent="0.25">
      <c r="A35" s="58" t="s">
        <v>70</v>
      </c>
      <c r="B35" s="70">
        <f>Working!D33</f>
        <v>3150</v>
      </c>
      <c r="C35" s="36"/>
    </row>
    <row r="36" spans="1:3" x14ac:dyDescent="0.25">
      <c r="A36" s="58" t="s">
        <v>74</v>
      </c>
      <c r="B36" s="70">
        <f>Working!B11</f>
        <v>71672.5</v>
      </c>
      <c r="C36" s="36"/>
    </row>
    <row r="37" spans="1:3" x14ac:dyDescent="0.25">
      <c r="A37" s="58" t="s">
        <v>17</v>
      </c>
      <c r="B37" s="70">
        <f>Working!B14</f>
        <v>60000</v>
      </c>
      <c r="C37" s="36"/>
    </row>
    <row r="38" spans="1:3" x14ac:dyDescent="0.25">
      <c r="A38" s="58" t="s">
        <v>18</v>
      </c>
      <c r="B38" s="70">
        <f>Working!B12</f>
        <v>13070</v>
      </c>
      <c r="C38" s="36"/>
    </row>
    <row r="39" spans="1:3" x14ac:dyDescent="0.25">
      <c r="A39" s="58" t="s">
        <v>22</v>
      </c>
      <c r="B39" s="70">
        <f>Working!B13</f>
        <v>45597</v>
      </c>
      <c r="C39" s="36"/>
    </row>
    <row r="40" spans="1:3" x14ac:dyDescent="0.25">
      <c r="A40" s="58" t="s">
        <v>26</v>
      </c>
      <c r="B40" s="36"/>
      <c r="C40" s="36"/>
    </row>
    <row r="41" spans="1:3" x14ac:dyDescent="0.25">
      <c r="A41" s="58" t="s">
        <v>50</v>
      </c>
      <c r="B41" s="75">
        <v>163480</v>
      </c>
      <c r="C41" s="36"/>
    </row>
    <row r="42" spans="1:3" x14ac:dyDescent="0.25">
      <c r="A42" s="58" t="s">
        <v>57</v>
      </c>
      <c r="B42" s="70">
        <f>+Working!B15</f>
        <v>10500</v>
      </c>
      <c r="C42" s="36"/>
    </row>
    <row r="43" spans="1:3" x14ac:dyDescent="0.25">
      <c r="A43" s="58" t="s">
        <v>19</v>
      </c>
      <c r="B43" s="36"/>
      <c r="C43" s="36"/>
    </row>
    <row r="44" spans="1:3" x14ac:dyDescent="0.25">
      <c r="A44" s="58" t="s">
        <v>16</v>
      </c>
      <c r="B44" s="70">
        <f>Working!B16</f>
        <v>94812</v>
      </c>
      <c r="C44" s="36"/>
    </row>
    <row r="45" spans="1:3" x14ac:dyDescent="0.25">
      <c r="A45" s="58" t="s">
        <v>41</v>
      </c>
      <c r="B45" s="70" t="e">
        <f>#REF!</f>
        <v>#REF!</v>
      </c>
      <c r="C45" s="36"/>
    </row>
    <row r="46" spans="1:3" x14ac:dyDescent="0.25">
      <c r="A46" s="58" t="s">
        <v>43</v>
      </c>
      <c r="B46" s="36"/>
      <c r="C46" s="36"/>
    </row>
    <row r="47" spans="1:3" x14ac:dyDescent="0.25">
      <c r="A47" s="58" t="s">
        <v>36</v>
      </c>
      <c r="B47" s="70">
        <v>15000</v>
      </c>
      <c r="C47" s="36"/>
    </row>
    <row r="48" spans="1:3" x14ac:dyDescent="0.25">
      <c r="A48" s="58" t="s">
        <v>20</v>
      </c>
      <c r="B48" s="70">
        <v>25000</v>
      </c>
      <c r="C48" s="36"/>
    </row>
    <row r="49" spans="1:3" ht="14.4" thickBot="1" x14ac:dyDescent="0.3">
      <c r="A49" s="55"/>
      <c r="B49" s="37" t="e">
        <f>SUM(B5:B48)</f>
        <v>#REF!</v>
      </c>
      <c r="C49" s="37">
        <f>SUM(C5:C48)</f>
        <v>3440162.3178082192</v>
      </c>
    </row>
    <row r="50" spans="1:3" ht="14.4" thickTop="1" x14ac:dyDescent="0.25"/>
    <row r="51" spans="1:3" x14ac:dyDescent="0.25">
      <c r="B51" s="38" t="e">
        <f>B49-C49</f>
        <v>#REF!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I35"/>
  <sheetViews>
    <sheetView tabSelected="1" zoomScaleNormal="100" zoomScaleSheetLayoutView="100" workbookViewId="0">
      <selection activeCell="G9" sqref="G9"/>
    </sheetView>
  </sheetViews>
  <sheetFormatPr defaultColWidth="9.109375" defaultRowHeight="14.4" x14ac:dyDescent="0.35"/>
  <cols>
    <col min="1" max="1" width="5" style="2" customWidth="1"/>
    <col min="2" max="2" width="40.5546875" style="2" customWidth="1"/>
    <col min="3" max="3" width="29.21875" style="8" customWidth="1"/>
    <col min="4" max="4" width="13.33203125" style="28" customWidth="1"/>
    <col min="5" max="5" width="0.5546875" style="2" customWidth="1"/>
    <col min="6" max="6" width="12.109375" style="31" hidden="1" customWidth="1"/>
    <col min="7" max="7" width="12.5546875" style="32" customWidth="1"/>
    <col min="8" max="8" width="9.109375" style="2"/>
    <col min="9" max="9" width="15.33203125" style="2" bestFit="1" customWidth="1"/>
    <col min="10" max="16384" width="9.109375" style="2"/>
  </cols>
  <sheetData>
    <row r="1" spans="1:9" x14ac:dyDescent="0.35">
      <c r="A1" s="1" t="s">
        <v>47</v>
      </c>
      <c r="B1" s="10"/>
      <c r="C1" s="10"/>
      <c r="D1" s="53" t="s">
        <v>13</v>
      </c>
      <c r="E1" s="10"/>
      <c r="F1" s="14"/>
      <c r="G1" s="21"/>
    </row>
    <row r="2" spans="1:9" x14ac:dyDescent="0.35">
      <c r="A2" s="9" t="s">
        <v>15</v>
      </c>
      <c r="B2" s="11"/>
      <c r="C2" s="11"/>
      <c r="D2" s="33"/>
      <c r="E2" s="22"/>
      <c r="F2" s="14"/>
      <c r="G2" s="21"/>
    </row>
    <row r="3" spans="1:9" x14ac:dyDescent="0.35">
      <c r="A3" s="6" t="s">
        <v>80</v>
      </c>
      <c r="B3" s="11"/>
      <c r="C3" s="11"/>
      <c r="D3" s="5">
        <v>2025</v>
      </c>
      <c r="E3" s="22"/>
      <c r="F3" s="14"/>
      <c r="G3" s="21"/>
    </row>
    <row r="4" spans="1:9" x14ac:dyDescent="0.35">
      <c r="A4" s="12"/>
      <c r="B4" s="13"/>
      <c r="C4" s="12"/>
      <c r="D4" s="34" t="s">
        <v>1</v>
      </c>
      <c r="E4" s="13"/>
      <c r="F4" s="23" t="s">
        <v>0</v>
      </c>
      <c r="G4" s="24"/>
    </row>
    <row r="5" spans="1:9" x14ac:dyDescent="0.35">
      <c r="A5" s="12"/>
      <c r="B5" s="12"/>
      <c r="C5" s="12"/>
      <c r="D5" s="2"/>
      <c r="E5" s="12"/>
      <c r="F5" s="23" t="s">
        <v>1</v>
      </c>
      <c r="G5" s="24"/>
    </row>
    <row r="6" spans="1:9" x14ac:dyDescent="0.35">
      <c r="A6" s="3">
        <v>4</v>
      </c>
      <c r="B6" s="1" t="s">
        <v>14</v>
      </c>
      <c r="C6" s="3"/>
      <c r="E6" s="1"/>
      <c r="F6" s="17"/>
      <c r="G6" s="25"/>
    </row>
    <row r="7" spans="1:9" x14ac:dyDescent="0.35">
      <c r="A7" s="3"/>
      <c r="B7" s="2" t="s">
        <v>45</v>
      </c>
      <c r="D7" s="28">
        <f>+TB!C27</f>
        <v>2328236</v>
      </c>
      <c r="E7" s="1"/>
      <c r="F7" s="17"/>
      <c r="G7" s="25"/>
    </row>
    <row r="8" spans="1:9" ht="15" thickBot="1" x14ac:dyDescent="0.4">
      <c r="D8" s="41">
        <f>D7</f>
        <v>2328236</v>
      </c>
      <c r="F8" s="26"/>
      <c r="G8" s="27"/>
      <c r="I8" s="28"/>
    </row>
    <row r="9" spans="1:9" ht="15" thickTop="1" x14ac:dyDescent="0.35">
      <c r="D9" s="44"/>
      <c r="F9" s="19"/>
      <c r="G9" s="27"/>
      <c r="I9" s="28"/>
    </row>
    <row r="10" spans="1:9" x14ac:dyDescent="0.35">
      <c r="A10" s="3">
        <v>5</v>
      </c>
      <c r="B10" s="1" t="s">
        <v>2</v>
      </c>
      <c r="C10" s="3"/>
      <c r="E10" s="1"/>
      <c r="F10" s="17"/>
      <c r="G10" s="25"/>
    </row>
    <row r="11" spans="1:9" x14ac:dyDescent="0.35">
      <c r="A11" s="3"/>
      <c r="B11" s="2" t="s">
        <v>81</v>
      </c>
      <c r="C11" s="3"/>
      <c r="D11" s="28">
        <f>TB!B30</f>
        <v>1220000</v>
      </c>
      <c r="E11" s="1"/>
      <c r="F11" s="17"/>
      <c r="G11" s="25"/>
    </row>
    <row r="12" spans="1:9" x14ac:dyDescent="0.35">
      <c r="A12" s="3"/>
      <c r="B12" s="2" t="s">
        <v>38</v>
      </c>
      <c r="C12" s="30"/>
      <c r="D12" s="43">
        <f>TB!B29</f>
        <v>900750</v>
      </c>
      <c r="E12" s="1"/>
      <c r="F12" s="14"/>
      <c r="G12" s="25"/>
    </row>
    <row r="13" spans="1:9" x14ac:dyDescent="0.35">
      <c r="A13" s="3"/>
      <c r="B13" s="2" t="s">
        <v>76</v>
      </c>
      <c r="C13" s="30"/>
      <c r="D13" s="43">
        <f>TB!B34</f>
        <v>12600</v>
      </c>
      <c r="E13" s="1"/>
      <c r="F13" s="14"/>
      <c r="G13" s="25"/>
    </row>
    <row r="14" spans="1:9" x14ac:dyDescent="0.35">
      <c r="A14" s="3"/>
      <c r="B14" s="2" t="s">
        <v>70</v>
      </c>
      <c r="C14" s="30"/>
      <c r="D14" s="43">
        <f>TB!B35</f>
        <v>3150</v>
      </c>
      <c r="E14" s="1"/>
      <c r="F14" s="14"/>
      <c r="G14" s="25"/>
    </row>
    <row r="15" spans="1:9" x14ac:dyDescent="0.35">
      <c r="A15" s="3"/>
      <c r="B15" s="2" t="s">
        <v>44</v>
      </c>
      <c r="C15" s="30"/>
      <c r="D15" s="43">
        <f>+TB!B37</f>
        <v>60000</v>
      </c>
      <c r="E15" s="1"/>
      <c r="F15" s="14"/>
      <c r="G15" s="25"/>
    </row>
    <row r="16" spans="1:9" x14ac:dyDescent="0.35">
      <c r="A16" s="3"/>
      <c r="B16" s="2" t="s">
        <v>75</v>
      </c>
      <c r="C16" s="30"/>
      <c r="D16" s="43">
        <f>+TB!B31+TB!B32</f>
        <v>110975</v>
      </c>
      <c r="E16" s="1"/>
      <c r="F16" s="14"/>
      <c r="G16" s="25"/>
    </row>
    <row r="17" spans="1:7" x14ac:dyDescent="0.35">
      <c r="A17" s="3"/>
      <c r="B17" s="2" t="s">
        <v>22</v>
      </c>
      <c r="C17" s="30"/>
      <c r="D17" s="43">
        <f>TB!B39</f>
        <v>45597</v>
      </c>
      <c r="E17" s="1"/>
      <c r="F17" s="14"/>
      <c r="G17" s="25"/>
    </row>
    <row r="18" spans="1:7" x14ac:dyDescent="0.35">
      <c r="A18" s="3"/>
      <c r="B18" s="2" t="s">
        <v>39</v>
      </c>
      <c r="C18" s="30"/>
      <c r="D18" s="43">
        <f>TB!B38</f>
        <v>13070</v>
      </c>
      <c r="E18" s="1"/>
      <c r="F18" s="14"/>
      <c r="G18" s="25"/>
    </row>
    <row r="19" spans="1:7" x14ac:dyDescent="0.35">
      <c r="A19" s="3"/>
      <c r="B19" s="2" t="s">
        <v>40</v>
      </c>
      <c r="C19" s="30"/>
      <c r="D19" s="43">
        <f>TB!B33</f>
        <v>171150</v>
      </c>
      <c r="E19" s="1"/>
      <c r="F19" s="14"/>
      <c r="G19" s="25"/>
    </row>
    <row r="20" spans="1:7" x14ac:dyDescent="0.35">
      <c r="A20" s="3"/>
      <c r="B20" s="2" t="s">
        <v>57</v>
      </c>
      <c r="C20" s="30"/>
      <c r="D20" s="43">
        <f>TB!B42</f>
        <v>10500</v>
      </c>
      <c r="E20" s="1"/>
      <c r="F20" s="14"/>
      <c r="G20" s="25"/>
    </row>
    <row r="21" spans="1:7" x14ac:dyDescent="0.35">
      <c r="A21" s="3"/>
      <c r="B21" s="2" t="s">
        <v>82</v>
      </c>
      <c r="C21" s="30"/>
      <c r="D21" s="43">
        <f>TB!B36</f>
        <v>71672.5</v>
      </c>
      <c r="E21" s="1"/>
      <c r="F21" s="14"/>
      <c r="G21" s="25"/>
    </row>
    <row r="22" spans="1:7" x14ac:dyDescent="0.35">
      <c r="A22" s="3"/>
      <c r="B22" s="2" t="s">
        <v>41</v>
      </c>
      <c r="C22" s="30"/>
      <c r="D22" s="43" t="e">
        <f>TB!B45</f>
        <v>#REF!</v>
      </c>
      <c r="E22" s="1"/>
      <c r="F22" s="14"/>
      <c r="G22" s="25"/>
    </row>
    <row r="23" spans="1:7" x14ac:dyDescent="0.35">
      <c r="A23" s="3"/>
      <c r="B23" s="2" t="s">
        <v>16</v>
      </c>
      <c r="C23" s="30"/>
      <c r="D23" s="43">
        <f>TB!B44</f>
        <v>94812</v>
      </c>
      <c r="E23" s="1"/>
      <c r="F23" s="14"/>
      <c r="G23" s="25"/>
    </row>
    <row r="24" spans="1:7" x14ac:dyDescent="0.35">
      <c r="A24" s="3"/>
      <c r="B24" s="2" t="s">
        <v>42</v>
      </c>
      <c r="C24" s="30"/>
      <c r="D24" s="43">
        <f>+TB!B47</f>
        <v>15000</v>
      </c>
      <c r="E24" s="1"/>
      <c r="F24" s="14"/>
      <c r="G24" s="25"/>
    </row>
    <row r="25" spans="1:7" x14ac:dyDescent="0.35">
      <c r="A25" s="3"/>
      <c r="B25" s="2" t="s">
        <v>20</v>
      </c>
      <c r="C25" s="30"/>
      <c r="D25" s="43">
        <f>+TB!B48</f>
        <v>25000</v>
      </c>
      <c r="E25" s="1"/>
      <c r="F25" s="14"/>
      <c r="G25" s="25"/>
    </row>
    <row r="26" spans="1:7" ht="15" thickBot="1" x14ac:dyDescent="0.4">
      <c r="D26" s="41" t="e">
        <f>SUM(D11:D25)</f>
        <v>#REF!</v>
      </c>
      <c r="E26" s="16"/>
      <c r="F26" s="18"/>
      <c r="G26" s="29"/>
    </row>
    <row r="27" spans="1:7" ht="14.25" customHeight="1" thickTop="1" x14ac:dyDescent="0.35">
      <c r="B27" s="4"/>
      <c r="C27" s="30"/>
      <c r="D27" s="43"/>
      <c r="F27" s="14"/>
      <c r="G27" s="21"/>
    </row>
    <row r="28" spans="1:7" x14ac:dyDescent="0.35">
      <c r="A28" s="3">
        <v>6</v>
      </c>
      <c r="B28" s="1" t="s">
        <v>11</v>
      </c>
      <c r="C28" s="3"/>
      <c r="D28" s="2"/>
    </row>
    <row r="29" spans="1:7" x14ac:dyDescent="0.35">
      <c r="B29" s="2" t="s">
        <v>50</v>
      </c>
      <c r="C29" s="3"/>
      <c r="D29" s="44">
        <f>+TB!B41</f>
        <v>163480</v>
      </c>
    </row>
    <row r="30" spans="1:7" ht="15" thickBot="1" x14ac:dyDescent="0.4">
      <c r="B30" s="1"/>
      <c r="C30" s="3"/>
      <c r="D30" s="41">
        <f>SUM(D29)</f>
        <v>163480</v>
      </c>
    </row>
    <row r="31" spans="1:7" ht="15" thickTop="1" x14ac:dyDescent="0.35">
      <c r="B31" s="1"/>
      <c r="C31" s="3"/>
      <c r="D31" s="44"/>
    </row>
    <row r="32" spans="1:7" x14ac:dyDescent="0.35">
      <c r="A32" s="5">
        <v>7</v>
      </c>
      <c r="B32" s="9" t="s">
        <v>12</v>
      </c>
    </row>
    <row r="33" spans="1:4" x14ac:dyDescent="0.35">
      <c r="A33" s="20"/>
      <c r="B33" s="7" t="s">
        <v>21</v>
      </c>
      <c r="D33" s="40">
        <f>TB!B46</f>
        <v>0</v>
      </c>
    </row>
    <row r="34" spans="1:4" ht="15" thickBot="1" x14ac:dyDescent="0.4">
      <c r="D34" s="42">
        <f>+D33</f>
        <v>0</v>
      </c>
    </row>
    <row r="35" spans="1:4" ht="15" thickTop="1" x14ac:dyDescent="0.35"/>
  </sheetData>
  <pageMargins left="0.85" right="0.5" top="0.75" bottom="0.17" header="0.17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</vt:lpstr>
      <vt:lpstr>PPE</vt:lpstr>
      <vt:lpstr>Working</vt:lpstr>
      <vt:lpstr>TB</vt:lpstr>
      <vt:lpstr>P09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Ventura</dc:creator>
  <cp:lastModifiedBy>Malinda Chirath</cp:lastModifiedBy>
  <cp:lastPrinted>2026-05-13T18:40:41Z</cp:lastPrinted>
  <dcterms:created xsi:type="dcterms:W3CDTF">2023-10-31T06:33:17Z</dcterms:created>
  <dcterms:modified xsi:type="dcterms:W3CDTF">2026-07-19T18:07:14Z</dcterms:modified>
</cp:coreProperties>
</file>