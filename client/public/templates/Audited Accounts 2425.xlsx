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E:\E Drive\University Project\L3S1\LankaCapital_ERP_Web\client\public\templates\"/>
    </mc:Choice>
  </mc:AlternateContent>
  <xr:revisionPtr revIDLastSave="0" documentId="13_ncr:1_{34E1B289-3DA5-4DF2-BB49-8FD4B9871809}" xr6:coauthVersionLast="36" xr6:coauthVersionMax="47" xr10:uidLastSave="{00000000-0000-0000-0000-000000000000}"/>
  <bookViews>
    <workbookView xWindow="0" yWindow="0" windowWidth="12072" windowHeight="4512" tabRatio="705" firstSheet="1" activeTab="7" xr2:uid="{00000000-000D-0000-FFFF-FFFF00000000}"/>
  </bookViews>
  <sheets>
    <sheet name="PPE" sheetId="24" r:id="rId1"/>
    <sheet name="Working" sheetId="25" r:id="rId2"/>
    <sheet name="TB" sheetId="7" r:id="rId3"/>
    <sheet name="P11" sheetId="19" r:id="rId4"/>
    <sheet name="CE" sheetId="8" r:id="rId5"/>
    <sheet name="CF" sheetId="15" r:id="rId6"/>
    <sheet name="PL" sheetId="2" r:id="rId7"/>
    <sheet name="BS" sheetId="1" r:id="rId8"/>
    <sheet name="P09" sheetId="6" r:id="rId9"/>
    <sheet name="P10" sheetId="5" r:id="rId10"/>
    <sheet name="Income Tax" sheetId="20" r:id="rId11"/>
  </sheets>
  <externalReferences>
    <externalReference r:id="rId12"/>
    <externalReference r:id="rId13"/>
  </externalReferences>
  <definedNames>
    <definedName name="Beg_Bal">#REF!</definedName>
    <definedName name="Chinthi">'[1]P&amp;L'!#REF!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ranji">'[1]P&amp;L'!#REF!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  <definedName name="vDateTime">#REF!</definedName>
    <definedName name="vDiastolic">#REF!</definedName>
    <definedName name="vHeartRate">#REF!</definedName>
    <definedName name="vSystolic">#REF!</definedName>
  </definedNames>
  <calcPr calcId="191029"/>
</workbook>
</file>

<file path=xl/calcChain.xml><?xml version="1.0" encoding="utf-8"?>
<calcChain xmlns="http://schemas.openxmlformats.org/spreadsheetml/2006/main">
  <c r="J21" i="19" l="1"/>
  <c r="J20" i="19"/>
  <c r="B25" i="7"/>
  <c r="D16" i="6" s="1"/>
  <c r="G17" i="15" l="1"/>
  <c r="D42" i="20" l="1"/>
  <c r="E27" i="1"/>
  <c r="E12" i="1"/>
  <c r="D17" i="6"/>
  <c r="C14" i="7"/>
  <c r="C12" i="7"/>
  <c r="C11" i="7"/>
  <c r="B6" i="5" l="1"/>
  <c r="F4" i="24"/>
  <c r="G4" i="24" s="1"/>
  <c r="B8" i="7"/>
  <c r="G6" i="5" s="1"/>
  <c r="B14" i="25"/>
  <c r="C13" i="25"/>
  <c r="C14" i="25" s="1"/>
  <c r="C18" i="7"/>
  <c r="G34" i="15"/>
  <c r="G14" i="15"/>
  <c r="D13" i="25" l="1"/>
  <c r="D14" i="25" s="1"/>
  <c r="B11" i="5"/>
  <c r="B15" i="5" s="1"/>
  <c r="A35" i="20"/>
  <c r="A36" i="20"/>
  <c r="A37" i="20"/>
  <c r="A38" i="20"/>
  <c r="A39" i="20"/>
  <c r="A40" i="20"/>
  <c r="J6" i="5"/>
  <c r="B35" i="20"/>
  <c r="E35" i="20" s="1"/>
  <c r="B39" i="20"/>
  <c r="B36" i="20"/>
  <c r="B38" i="20"/>
  <c r="B37" i="20"/>
  <c r="G11" i="5"/>
  <c r="J11" i="5" s="1"/>
  <c r="B40" i="20"/>
  <c r="D5" i="24"/>
  <c r="D12" i="6"/>
  <c r="D11" i="6"/>
  <c r="D10" i="2"/>
  <c r="J23" i="19"/>
  <c r="J22" i="19"/>
  <c r="E38" i="20" l="1"/>
  <c r="F38" i="20" s="1"/>
  <c r="H38" i="20" s="1"/>
  <c r="E39" i="20"/>
  <c r="F39" i="20" s="1"/>
  <c r="H39" i="20" s="1"/>
  <c r="E36" i="20"/>
  <c r="E40" i="20"/>
  <c r="F40" i="20" s="1"/>
  <c r="H40" i="20" s="1"/>
  <c r="E37" i="20"/>
  <c r="F37" i="20" s="1"/>
  <c r="H37" i="20" s="1"/>
  <c r="B42" i="20"/>
  <c r="F35" i="20"/>
  <c r="E42" i="20" l="1"/>
  <c r="F36" i="20"/>
  <c r="H36" i="20" s="1"/>
  <c r="H35" i="20"/>
  <c r="E7" i="5"/>
  <c r="E12" i="5"/>
  <c r="H42" i="20" l="1"/>
  <c r="F42" i="20"/>
  <c r="G5" i="24"/>
  <c r="C9" i="7" s="1"/>
  <c r="J24" i="19"/>
  <c r="J15" i="5"/>
  <c r="G12" i="5"/>
  <c r="F11" i="20" l="1"/>
  <c r="H11" i="20" s="1"/>
  <c r="G9" i="15"/>
  <c r="D13" i="6"/>
  <c r="J7" i="5"/>
  <c r="J12" i="5"/>
  <c r="J16" i="5" l="1"/>
  <c r="D8" i="2"/>
  <c r="H22" i="20"/>
  <c r="J4" i="19"/>
  <c r="J13" i="19"/>
  <c r="J7" i="19"/>
  <c r="G37" i="15" s="1"/>
  <c r="G38" i="15" s="1"/>
  <c r="J8" i="19" l="1"/>
  <c r="E26" i="1"/>
  <c r="G13" i="15" s="1"/>
  <c r="E13" i="1" l="1"/>
  <c r="E14" i="1" s="1"/>
  <c r="H14" i="20"/>
  <c r="D7" i="6" l="1"/>
  <c r="E9" i="8" l="1"/>
  <c r="E13" i="8" s="1"/>
  <c r="J16" i="19"/>
  <c r="J17" i="19" s="1"/>
  <c r="E19" i="1" s="1"/>
  <c r="G26" i="15" s="1"/>
  <c r="A3" i="15" l="1"/>
  <c r="A34" i="1" l="1"/>
  <c r="A32" i="1"/>
  <c r="G27" i="15" l="1"/>
  <c r="I9" i="8"/>
  <c r="D8" i="6" l="1"/>
  <c r="D6" i="2" s="1"/>
  <c r="G12" i="15" l="1"/>
  <c r="D12" i="2" l="1"/>
  <c r="G18" i="15"/>
  <c r="G7" i="15" l="1"/>
  <c r="H6" i="20"/>
  <c r="H9" i="20" s="1"/>
  <c r="H12" i="20" l="1"/>
  <c r="H15" i="20" s="1"/>
  <c r="G10" i="15"/>
  <c r="G15" i="15" s="1"/>
  <c r="F19" i="20" l="1"/>
  <c r="H19" i="20" s="1"/>
  <c r="H24" i="20" s="1"/>
  <c r="H47" i="20"/>
  <c r="H48" i="20" s="1"/>
  <c r="H53" i="20" s="1"/>
  <c r="G19" i="15"/>
  <c r="C27" i="7" l="1"/>
  <c r="E28" i="1"/>
  <c r="E29" i="1" s="1"/>
  <c r="B27" i="7"/>
  <c r="D20" i="6"/>
  <c r="D21" i="6" s="1"/>
  <c r="D14" i="2" s="1"/>
  <c r="D16" i="2" s="1"/>
  <c r="G11" i="8" s="1"/>
  <c r="G7" i="5"/>
  <c r="G22" i="15" s="1"/>
  <c r="G23" i="15" s="1"/>
  <c r="G28" i="15" s="1"/>
  <c r="G30" i="15" s="1"/>
  <c r="H38" i="15" s="1"/>
  <c r="B28" i="7" l="1"/>
  <c r="I11" i="8"/>
  <c r="I13" i="8" s="1"/>
  <c r="G13" i="8"/>
  <c r="E20" i="1" s="1"/>
  <c r="E21" i="1" s="1"/>
  <c r="E30" i="1" s="1"/>
  <c r="E8" i="1"/>
  <c r="E9" i="1" l="1"/>
  <c r="E15" i="1" s="1"/>
  <c r="G30" i="1" s="1"/>
  <c r="G32" i="1" s="1"/>
</calcChain>
</file>

<file path=xl/sharedStrings.xml><?xml version="1.0" encoding="utf-8"?>
<sst xmlns="http://schemas.openxmlformats.org/spreadsheetml/2006/main" count="235" uniqueCount="180">
  <si>
    <t>STATEMENT OF FINANCIAL POSITION</t>
  </si>
  <si>
    <t>ASSETS</t>
  </si>
  <si>
    <t>Current Assets</t>
  </si>
  <si>
    <t>Cash &amp; Cash Equivalent</t>
  </si>
  <si>
    <t>Total Assets</t>
  </si>
  <si>
    <t>EQUITY &amp; LIABILITIES</t>
  </si>
  <si>
    <t>Stated Capital</t>
  </si>
  <si>
    <t>Retained Earnings</t>
  </si>
  <si>
    <t>Current Liabilities</t>
  </si>
  <si>
    <t>Total Equity and Liabilities</t>
  </si>
  <si>
    <t>31/03/2023</t>
  </si>
  <si>
    <t>Rs.</t>
  </si>
  <si>
    <t>Administration Expenses</t>
  </si>
  <si>
    <t>Additions</t>
  </si>
  <si>
    <t>Disposal</t>
  </si>
  <si>
    <t>Charge for the year</t>
  </si>
  <si>
    <t>Trial Balance</t>
  </si>
  <si>
    <t>Dr</t>
  </si>
  <si>
    <t>Cr</t>
  </si>
  <si>
    <t>Assets</t>
  </si>
  <si>
    <t>Bank accounts</t>
  </si>
  <si>
    <t>Share capital</t>
  </si>
  <si>
    <t>Rs</t>
  </si>
  <si>
    <t>Non Current Assets</t>
  </si>
  <si>
    <t>Income Tax Paid</t>
  </si>
  <si>
    <t>Adjustments For:</t>
  </si>
  <si>
    <t>Cost</t>
  </si>
  <si>
    <t>Total</t>
  </si>
  <si>
    <t>Page 2</t>
  </si>
  <si>
    <t>Note</t>
  </si>
  <si>
    <t>STATEMENT OF COMPREHENSIVE INCOME</t>
  </si>
  <si>
    <t>Profit/ (Loss) Before Taxation</t>
  </si>
  <si>
    <t>Figures in brackets indicate deductions.</t>
  </si>
  <si>
    <t>The Notes on pages 06 to 11 form an integral part of these Financial Statements.</t>
  </si>
  <si>
    <t>Finance Cost</t>
  </si>
  <si>
    <t>Income Tax Expense</t>
  </si>
  <si>
    <t>Page 3</t>
  </si>
  <si>
    <t>Capital and Reserve</t>
  </si>
  <si>
    <t>Director's Current Account</t>
  </si>
  <si>
    <t>Total Current Assets</t>
  </si>
  <si>
    <t>Non Current Liabilities</t>
  </si>
  <si>
    <t>Total Current Liabilities</t>
  </si>
  <si>
    <t>Total Liabilities</t>
  </si>
  <si>
    <t>These financial statements are in compliance with the requirements of Companies Act No. 07 of 2007.</t>
  </si>
  <si>
    <t>……………………</t>
  </si>
  <si>
    <t>Accountant</t>
  </si>
  <si>
    <t>The  Board of Directors is responsible for the preparation and presentation of these Financial Statements.</t>
  </si>
  <si>
    <t>Approved and Signed for and on behalf of the Board.</t>
  </si>
  <si>
    <t>……………………………</t>
  </si>
  <si>
    <t>(Director)</t>
  </si>
  <si>
    <t>Page 4</t>
  </si>
  <si>
    <t xml:space="preserve">STATEMENT OF CHANGES IN EQUITY </t>
  </si>
  <si>
    <t>STATEMENT OF CASH FLOWS</t>
  </si>
  <si>
    <t>Cash flow from Operating Activities</t>
  </si>
  <si>
    <t>Net Profit before Taxation</t>
  </si>
  <si>
    <t xml:space="preserve">Operating Profit Before Working Capital Changes </t>
  </si>
  <si>
    <t>Cash Generated from Operations</t>
  </si>
  <si>
    <t>Net Cash Flows from Operating Activities</t>
  </si>
  <si>
    <t>Cash Flow from Investing Activities</t>
  </si>
  <si>
    <t>Net Cash Flow from/(Used in) Investing Activities</t>
  </si>
  <si>
    <t>Cash flow from Financing Activities</t>
  </si>
  <si>
    <t>Net Cash Used in Financing Activities</t>
  </si>
  <si>
    <t>Cash &amp; Cash Equivalents at the Beginning of the Period</t>
  </si>
  <si>
    <t>Cash &amp; Cash Equivalents at the End of the Period</t>
  </si>
  <si>
    <t>Page 5</t>
  </si>
  <si>
    <t>Net increase/ (Decrease) in Cash &amp; Cash Equivalents</t>
  </si>
  <si>
    <t>Page 9</t>
  </si>
  <si>
    <t>Page 10</t>
  </si>
  <si>
    <t>Revenue</t>
  </si>
  <si>
    <t>NOTES TO THE FINANCIAL STATEMENTS</t>
  </si>
  <si>
    <t>Shares Issued</t>
  </si>
  <si>
    <t>Number of Shares - Ordinary Shares</t>
  </si>
  <si>
    <t>Nos.</t>
  </si>
  <si>
    <t>Value - Ordinary Shares</t>
  </si>
  <si>
    <t xml:space="preserve">Rs. </t>
  </si>
  <si>
    <t>Stated 
Capital</t>
  </si>
  <si>
    <t>Retained  Earnings</t>
  </si>
  <si>
    <t xml:space="preserve">Total 
</t>
  </si>
  <si>
    <t xml:space="preserve">NOTES TO THE FINANCIAL STATEMENTS </t>
  </si>
  <si>
    <t>AS AT 31ST MARCH</t>
  </si>
  <si>
    <t>Written Down Value</t>
  </si>
  <si>
    <t>Page 12</t>
  </si>
  <si>
    <t xml:space="preserve">COMPUTATION OF INCOME TAX </t>
  </si>
  <si>
    <t>Profit/(Loss) Before Tax as per Financial Statements</t>
  </si>
  <si>
    <t>Less: Exempt Amounts,Final Withholding Payments &amp; Other Sources</t>
  </si>
  <si>
    <t>Add: Deduction not Allowed</t>
  </si>
  <si>
    <t>Capital Allowances</t>
  </si>
  <si>
    <t>Assessable Income From Business/(Business Loss)</t>
  </si>
  <si>
    <t>Taxable Income</t>
  </si>
  <si>
    <t>Income Tax on Taxable Income</t>
  </si>
  <si>
    <t>@ 30% on</t>
  </si>
  <si>
    <t>Less : Tax Credits</t>
  </si>
  <si>
    <t>Balance Tax Payable</t>
  </si>
  <si>
    <t>Annexure to the Income Tax Computation</t>
  </si>
  <si>
    <t>Annexure 1 - Capital Allowances On Depreciable Assets</t>
  </si>
  <si>
    <t>Asset Description</t>
  </si>
  <si>
    <t>Years</t>
  </si>
  <si>
    <t>During the
 year Claim</t>
  </si>
  <si>
    <t>WDV</t>
  </si>
  <si>
    <t>Audit Fee</t>
  </si>
  <si>
    <t>FOR THE YEAR PERIOD 31ST MARCH</t>
  </si>
  <si>
    <t>Increase/(Decrease) in Director's Current Account</t>
  </si>
  <si>
    <t>Current Tax Expense</t>
  </si>
  <si>
    <t>Page 11</t>
  </si>
  <si>
    <t>Trade Creditors &amp; Other Payable</t>
  </si>
  <si>
    <t>Interest Income</t>
  </si>
  <si>
    <t>As at 31st March 2025</t>
  </si>
  <si>
    <t>Amount</t>
  </si>
  <si>
    <t>Furniture &amp; Fittings</t>
  </si>
  <si>
    <t>Balance at 01.04.2024</t>
  </si>
  <si>
    <t>Balance at 31.03.2025</t>
  </si>
  <si>
    <t>Accumulated Depreciation</t>
  </si>
  <si>
    <t>Fixed Asset Register</t>
  </si>
  <si>
    <t>Asset</t>
  </si>
  <si>
    <t>Month of purchased</t>
  </si>
  <si>
    <t>Month starting Depreciation</t>
  </si>
  <si>
    <t xml:space="preserve">Depreciation Amount </t>
  </si>
  <si>
    <t>Rate</t>
  </si>
  <si>
    <t>Cash</t>
  </si>
  <si>
    <t>Accountany Fee</t>
  </si>
  <si>
    <t>Accumalated Deprecion</t>
  </si>
  <si>
    <t>Cash In Hand</t>
  </si>
  <si>
    <t>FOR THE PERIOD ENDED 31ST MARCH 2025</t>
  </si>
  <si>
    <t>Balance as at 01st April 2024</t>
  </si>
  <si>
    <t>Balance as at 31st March 2025</t>
  </si>
  <si>
    <t>YEAR OF ASSESSMENT 2024/2025</t>
  </si>
  <si>
    <t>AS AT 31ST MARCH 2025</t>
  </si>
  <si>
    <t>Depreciation</t>
  </si>
  <si>
    <t>Less: Deduction Allowed</t>
  </si>
  <si>
    <t>Balance as at 01/04/2024</t>
  </si>
  <si>
    <t>Balance as at 31/03/2025</t>
  </si>
  <si>
    <t>2024/2025</t>
  </si>
  <si>
    <t>Balance as at
 31.03.2025</t>
  </si>
  <si>
    <t>Accountancy Fee</t>
  </si>
  <si>
    <t>Annexure 1</t>
  </si>
  <si>
    <t>Self Assessment Income Tax Payments</t>
  </si>
  <si>
    <t>Income Tax</t>
  </si>
  <si>
    <t>Property, Plant and Equipment</t>
  </si>
  <si>
    <t>Cash in Hand</t>
  </si>
  <si>
    <t>At the Beginning</t>
  </si>
  <si>
    <t>At the End</t>
  </si>
  <si>
    <t>Commission Income</t>
  </si>
  <si>
    <t>N K R S LANKA CAPITAL (PRIVATE) LIMITED</t>
  </si>
  <si>
    <t>TIN NO. 111350027</t>
  </si>
  <si>
    <t>Advertisment &amp; Sales Promotion</t>
  </si>
  <si>
    <t>Bad Debts</t>
  </si>
  <si>
    <t>Income</t>
  </si>
  <si>
    <t>Bill Nu.</t>
  </si>
  <si>
    <t>EPF &amp; ETF</t>
  </si>
  <si>
    <t>EPF20%</t>
  </si>
  <si>
    <t>EPF12%</t>
  </si>
  <si>
    <t>ETF3%</t>
  </si>
  <si>
    <t>EPF</t>
  </si>
  <si>
    <t>ETF</t>
  </si>
  <si>
    <t>Date</t>
  </si>
  <si>
    <t>Dirtectors remuniration</t>
  </si>
  <si>
    <t>FOR THE PERIOD ENDED 31ST MARCH</t>
  </si>
  <si>
    <t>Director C/A - Invetment</t>
  </si>
  <si>
    <t>Receivables</t>
  </si>
  <si>
    <t>Profit/(Loss) for the Period</t>
  </si>
  <si>
    <t>(Increase)/Decrease in Receivables</t>
  </si>
  <si>
    <t>Loss</t>
  </si>
  <si>
    <t>Annexure 2 - Business Losses</t>
  </si>
  <si>
    <t>Brought Forward from 2023/2024</t>
  </si>
  <si>
    <t>Business Losses for the year</t>
  </si>
  <si>
    <t>Loss Deducted during the year</t>
  </si>
  <si>
    <t xml:space="preserve">    Deducted against Investment Income</t>
  </si>
  <si>
    <t xml:space="preserve">    Deducted against Business Income</t>
  </si>
  <si>
    <t>Carried Forward to 2025/2026</t>
  </si>
  <si>
    <t>14th May 2026</t>
  </si>
  <si>
    <t>Increase/(Decrease) in Trade Creditors &amp; Other Payable</t>
  </si>
  <si>
    <t>Profit/ (Loss) for the Period</t>
  </si>
  <si>
    <t>Kuruwita</t>
  </si>
  <si>
    <t>Administrative Expenses</t>
  </si>
  <si>
    <t>EPF ETF</t>
  </si>
  <si>
    <t>Liabilities</t>
  </si>
  <si>
    <t>Equity</t>
  </si>
  <si>
    <t>Expenses</t>
  </si>
  <si>
    <t>Accounts</t>
  </si>
  <si>
    <t>N K R S Lanka Capital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</si>
</sst>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0"/>
      <color rgb="FF000000"/>
      <name val="Trebuchet MS"/>
      <family val="2"/>
    </font>
    <font>
      <sz val="10"/>
      <color rgb="FF00000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u/>
      <sz val="10"/>
      <color rgb="FF000000"/>
      <name val="Trebuchet MS"/>
      <family val="2"/>
    </font>
    <font>
      <sz val="10"/>
      <color theme="0"/>
      <name val="Trebuchet MS"/>
      <family val="2"/>
    </font>
    <font>
      <b/>
      <i/>
      <sz val="10"/>
      <color rgb="FF000000"/>
      <name val="Trebuchet MS"/>
      <family val="2"/>
    </font>
    <font>
      <b/>
      <i/>
      <sz val="10"/>
      <name val="Trebuchet MS"/>
      <family val="2"/>
    </font>
    <font>
      <i/>
      <sz val="10"/>
      <name val="Trebuchet MS"/>
      <family val="2"/>
    </font>
    <font>
      <sz val="11"/>
      <color theme="1"/>
      <name val="Times New Roman"/>
      <family val="1"/>
    </font>
    <font>
      <u/>
      <sz val="10"/>
      <color theme="1"/>
      <name val="Trebuchet MS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</cellStyleXfs>
  <cellXfs count="244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49" fontId="8" fillId="0" borderId="0" xfId="0" applyNumberFormat="1" applyFont="1"/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vertical="center"/>
    </xf>
    <xf numFmtId="164" fontId="8" fillId="0" borderId="0" xfId="1" applyNumberFormat="1" applyFont="1" applyBorder="1"/>
    <xf numFmtId="164" fontId="8" fillId="0" borderId="0" xfId="1" applyNumberFormat="1" applyFont="1"/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19" applyNumberFormat="1" applyFont="1" applyFill="1" applyAlignment="1"/>
    <xf numFmtId="0" fontId="9" fillId="0" borderId="0" xfId="19" applyNumberFormat="1" applyFont="1" applyFill="1" applyAlignment="1">
      <alignment vertical="center"/>
    </xf>
    <xf numFmtId="0" fontId="12" fillId="0" borderId="0" xfId="0" applyFont="1"/>
    <xf numFmtId="165" fontId="8" fillId="0" borderId="0" xfId="1" applyNumberFormat="1" applyFont="1" applyFill="1"/>
    <xf numFmtId="0" fontId="8" fillId="0" borderId="0" xfId="0" applyFont="1" applyAlignment="1">
      <alignment horizontal="center"/>
    </xf>
    <xf numFmtId="165" fontId="7" fillId="0" borderId="0" xfId="1" applyNumberFormat="1" applyFont="1" applyFill="1" applyAlignment="1">
      <alignment horizontal="center"/>
    </xf>
    <xf numFmtId="165" fontId="8" fillId="0" borderId="0" xfId="4" applyNumberFormat="1" applyFont="1" applyBorder="1"/>
    <xf numFmtId="0" fontId="10" fillId="0" borderId="0" xfId="0" applyFont="1"/>
    <xf numFmtId="49" fontId="9" fillId="0" borderId="0" xfId="19" applyNumberFormat="1" applyFont="1" applyFill="1" applyBorder="1" applyAlignment="1">
      <alignment vertical="center"/>
    </xf>
    <xf numFmtId="43" fontId="10" fillId="0" borderId="0" xfId="1" applyFont="1" applyFill="1"/>
    <xf numFmtId="166" fontId="10" fillId="0" borderId="0" xfId="1" applyNumberFormat="1" applyFont="1" applyFill="1"/>
    <xf numFmtId="166" fontId="14" fillId="0" borderId="0" xfId="1" applyNumberFormat="1" applyFont="1" applyFill="1"/>
    <xf numFmtId="43" fontId="14" fillId="0" borderId="0" xfId="1" applyFont="1" applyFill="1"/>
    <xf numFmtId="43" fontId="10" fillId="0" borderId="0" xfId="1" applyFont="1" applyFill="1" applyAlignment="1">
      <alignment vertical="top"/>
    </xf>
    <xf numFmtId="43" fontId="10" fillId="0" borderId="0" xfId="1" applyFont="1" applyFill="1" applyAlignment="1">
      <alignment horizontal="left" vertical="top" wrapText="1"/>
    </xf>
    <xf numFmtId="43" fontId="10" fillId="0" borderId="0" xfId="1" applyFont="1" applyFill="1" applyAlignment="1">
      <alignment vertical="top" wrapText="1"/>
    </xf>
    <xf numFmtId="0" fontId="10" fillId="0" borderId="0" xfId="11" applyNumberFormat="1" applyFont="1" applyFill="1" applyAlignment="1"/>
    <xf numFmtId="0" fontId="10" fillId="0" borderId="0" xfId="11" applyNumberFormat="1" applyFont="1" applyFill="1" applyAlignment="1">
      <alignment vertical="center"/>
    </xf>
    <xf numFmtId="43" fontId="12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 vertical="center" wrapText="1"/>
    </xf>
    <xf numFmtId="166" fontId="12" fillId="0" borderId="0" xfId="0" applyNumberFormat="1" applyFont="1"/>
    <xf numFmtId="166" fontId="11" fillId="0" borderId="0" xfId="0" applyNumberFormat="1" applyFont="1"/>
    <xf numFmtId="0" fontId="15" fillId="0" borderId="0" xfId="0" applyFont="1"/>
    <xf numFmtId="0" fontId="16" fillId="0" borderId="0" xfId="6" applyFont="1" applyAlignment="1">
      <alignment vertical="center"/>
    </xf>
    <xf numFmtId="0" fontId="9" fillId="0" borderId="0" xfId="5" applyFont="1" applyAlignment="1">
      <alignment horizontal="center" vertical="center"/>
    </xf>
    <xf numFmtId="0" fontId="9" fillId="0" borderId="0" xfId="5" applyFont="1" applyAlignment="1">
      <alignment horizontal="left" vertical="center"/>
    </xf>
    <xf numFmtId="165" fontId="8" fillId="0" borderId="0" xfId="4" applyNumberFormat="1" applyFont="1"/>
    <xf numFmtId="165" fontId="7" fillId="0" borderId="0" xfId="4" applyNumberFormat="1" applyFont="1" applyBorder="1" applyAlignment="1" applyProtection="1">
      <alignment horizontal="center" vertical="center" wrapText="1"/>
    </xf>
    <xf numFmtId="165" fontId="7" fillId="0" borderId="0" xfId="4" applyNumberFormat="1" applyFont="1" applyBorder="1" applyAlignment="1" applyProtection="1">
      <alignment horizontal="center" vertical="center"/>
    </xf>
    <xf numFmtId="165" fontId="7" fillId="0" borderId="0" xfId="4" applyNumberFormat="1" applyFont="1" applyAlignment="1">
      <alignment vertical="center"/>
    </xf>
    <xf numFmtId="165" fontId="7" fillId="0" borderId="0" xfId="4" applyNumberFormat="1" applyFont="1" applyBorder="1" applyAlignment="1">
      <alignment vertical="center"/>
    </xf>
    <xf numFmtId="49" fontId="7" fillId="0" borderId="0" xfId="4" applyNumberFormat="1" applyFont="1" applyAlignment="1">
      <alignment horizontal="center" vertical="center" wrapText="1" readingOrder="1"/>
    </xf>
    <xf numFmtId="0" fontId="10" fillId="0" borderId="0" xfId="5" applyFont="1" applyAlignment="1">
      <alignment horizontal="left" vertical="center"/>
    </xf>
    <xf numFmtId="165" fontId="8" fillId="0" borderId="0" xfId="4" applyNumberFormat="1" applyFont="1" applyBorder="1" applyAlignment="1" applyProtection="1">
      <alignment horizontal="center"/>
    </xf>
    <xf numFmtId="165" fontId="7" fillId="0" borderId="0" xfId="4" applyNumberFormat="1" applyFont="1" applyBorder="1"/>
    <xf numFmtId="165" fontId="7" fillId="0" borderId="0" xfId="4" applyNumberFormat="1" applyFont="1" applyBorder="1" applyAlignment="1" applyProtection="1">
      <alignment horizontal="center"/>
    </xf>
    <xf numFmtId="165" fontId="7" fillId="0" borderId="0" xfId="4" applyNumberFormat="1" applyFont="1"/>
    <xf numFmtId="9" fontId="8" fillId="0" borderId="0" xfId="9" applyFont="1"/>
    <xf numFmtId="0" fontId="10" fillId="0" borderId="0" xfId="5" applyFont="1" applyAlignment="1">
      <alignment horizontal="center" vertical="center"/>
    </xf>
    <xf numFmtId="165" fontId="8" fillId="0" borderId="0" xfId="4" applyNumberFormat="1" applyFont="1" applyBorder="1" applyProtection="1"/>
    <xf numFmtId="165" fontId="7" fillId="0" borderId="2" xfId="4" applyNumberFormat="1" applyFont="1" applyBorder="1"/>
    <xf numFmtId="0" fontId="10" fillId="0" borderId="0" xfId="0" applyFont="1" applyAlignment="1">
      <alignment horizontal="left" vertical="center"/>
    </xf>
    <xf numFmtId="165" fontId="10" fillId="0" borderId="0" xfId="4" applyNumberFormat="1" applyFont="1" applyBorder="1" applyAlignment="1" applyProtection="1">
      <alignment horizontal="left" vertical="center"/>
    </xf>
    <xf numFmtId="0" fontId="9" fillId="0" borderId="0" xfId="4" applyNumberFormat="1" applyFont="1" applyBorder="1" applyAlignment="1" applyProtection="1">
      <alignment vertical="top"/>
    </xf>
    <xf numFmtId="0" fontId="10" fillId="0" borderId="0" xfId="4" applyNumberFormat="1" applyFont="1" applyBorder="1" applyProtection="1"/>
    <xf numFmtId="1" fontId="9" fillId="0" borderId="0" xfId="7" applyNumberFormat="1" applyFont="1" applyAlignment="1">
      <alignment horizontal="center" vertical="center"/>
    </xf>
    <xf numFmtId="0" fontId="9" fillId="0" borderId="0" xfId="8" applyFont="1" applyAlignment="1">
      <alignment horizontal="left" vertical="center"/>
    </xf>
    <xf numFmtId="165" fontId="10" fillId="0" borderId="0" xfId="4" applyNumberFormat="1" applyFont="1" applyBorder="1" applyProtection="1"/>
    <xf numFmtId="165" fontId="7" fillId="0" borderId="0" xfId="4" applyNumberFormat="1" applyFont="1" applyBorder="1" applyProtection="1"/>
    <xf numFmtId="0" fontId="9" fillId="0" borderId="0" xfId="7" applyFont="1" applyAlignment="1">
      <alignment horizontal="left" vertical="center"/>
    </xf>
    <xf numFmtId="43" fontId="12" fillId="0" borderId="0" xfId="1" applyFont="1"/>
    <xf numFmtId="0" fontId="9" fillId="0" borderId="0" xfId="0" applyFont="1"/>
    <xf numFmtId="0" fontId="10" fillId="0" borderId="0" xfId="10" applyFont="1"/>
    <xf numFmtId="0" fontId="12" fillId="0" borderId="0" xfId="0" applyFont="1" applyAlignment="1">
      <alignment horizontal="center"/>
    </xf>
    <xf numFmtId="164" fontId="8" fillId="0" borderId="0" xfId="4" applyFont="1"/>
    <xf numFmtId="0" fontId="16" fillId="0" borderId="0" xfId="6" applyFont="1" applyAlignment="1">
      <alignment horizontal="left" vertical="center"/>
    </xf>
    <xf numFmtId="165" fontId="7" fillId="0" borderId="0" xfId="4" applyNumberFormat="1" applyFont="1" applyAlignment="1">
      <alignment horizontal="center"/>
    </xf>
    <xf numFmtId="164" fontId="7" fillId="0" borderId="0" xfId="4" applyFont="1" applyAlignment="1">
      <alignment horizontal="center"/>
    </xf>
    <xf numFmtId="164" fontId="8" fillId="0" borderId="0" xfId="4" applyFont="1" applyBorder="1" applyProtection="1"/>
    <xf numFmtId="165" fontId="7" fillId="0" borderId="2" xfId="4" applyNumberFormat="1" applyFont="1" applyBorder="1" applyProtection="1"/>
    <xf numFmtId="9" fontId="8" fillId="0" borderId="0" xfId="9" applyFont="1" applyFill="1" applyBorder="1" applyProtection="1"/>
    <xf numFmtId="43" fontId="8" fillId="0" borderId="0" xfId="1" applyFont="1" applyFill="1"/>
    <xf numFmtId="43" fontId="8" fillId="0" borderId="0" xfId="0" applyNumberFormat="1" applyFont="1"/>
    <xf numFmtId="164" fontId="8" fillId="0" borderId="0" xfId="4" applyFont="1" applyBorder="1"/>
    <xf numFmtId="0" fontId="8" fillId="0" borderId="0" xfId="0" applyFont="1" applyAlignment="1">
      <alignment horizontal="center" vertical="center"/>
    </xf>
    <xf numFmtId="165" fontId="8" fillId="0" borderId="0" xfId="0" applyNumberFormat="1" applyFont="1"/>
    <xf numFmtId="164" fontId="8" fillId="0" borderId="0" xfId="0" applyNumberFormat="1" applyFont="1"/>
    <xf numFmtId="0" fontId="9" fillId="0" borderId="0" xfId="6" applyFont="1" applyAlignment="1">
      <alignment vertical="center"/>
    </xf>
    <xf numFmtId="0" fontId="9" fillId="0" borderId="0" xfId="6" applyFont="1" applyAlignment="1">
      <alignment horizontal="center" vertical="center"/>
    </xf>
    <xf numFmtId="0" fontId="17" fillId="0" borderId="0" xfId="6" applyFont="1" applyAlignment="1">
      <alignment vertical="center"/>
    </xf>
    <xf numFmtId="165" fontId="10" fillId="0" borderId="2" xfId="4" applyNumberFormat="1" applyFont="1" applyBorder="1" applyAlignment="1" applyProtection="1">
      <alignment horizontal="left" vertical="center"/>
    </xf>
    <xf numFmtId="165" fontId="10" fillId="0" borderId="0" xfId="4" applyNumberFormat="1" applyFont="1" applyBorder="1" applyAlignment="1" applyProtection="1">
      <alignment vertical="center"/>
    </xf>
    <xf numFmtId="43" fontId="11" fillId="0" borderId="0" xfId="1" applyFont="1" applyAlignment="1">
      <alignment horizontal="center" vertical="center" wrapText="1"/>
    </xf>
    <xf numFmtId="43" fontId="7" fillId="0" borderId="0" xfId="1" applyFont="1" applyFill="1" applyAlignment="1">
      <alignment horizontal="center"/>
    </xf>
    <xf numFmtId="165" fontId="9" fillId="0" borderId="0" xfId="4" applyNumberFormat="1" applyFont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166" fontId="18" fillId="0" borderId="0" xfId="1" applyNumberFormat="1" applyFont="1" applyFill="1" applyBorder="1"/>
    <xf numFmtId="43" fontId="10" fillId="0" borderId="0" xfId="0" applyNumberFormat="1" applyFont="1"/>
    <xf numFmtId="0" fontId="11" fillId="0" borderId="0" xfId="0" applyFont="1" applyAlignment="1">
      <alignment horizontal="center" wrapText="1"/>
    </xf>
    <xf numFmtId="0" fontId="9" fillId="0" borderId="0" xfId="6" applyFont="1" applyAlignment="1">
      <alignment horizontal="left" vertical="center"/>
    </xf>
    <xf numFmtId="0" fontId="11" fillId="0" borderId="0" xfId="0" applyFont="1" applyAlignment="1">
      <alignment vertical="center"/>
    </xf>
    <xf numFmtId="166" fontId="9" fillId="0" borderId="0" xfId="19" applyNumberFormat="1" applyFont="1" applyFill="1" applyAlignment="1">
      <alignment horizontal="right" vertical="center"/>
    </xf>
    <xf numFmtId="166" fontId="9" fillId="0" borderId="0" xfId="19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9" fillId="0" borderId="0" xfId="0" applyFont="1"/>
    <xf numFmtId="166" fontId="10" fillId="0" borderId="4" xfId="1" applyNumberFormat="1" applyFont="1" applyFill="1" applyBorder="1"/>
    <xf numFmtId="49" fontId="12" fillId="0" borderId="0" xfId="1" applyNumberFormat="1" applyFont="1" applyFill="1" applyAlignment="1">
      <alignment horizontal="center"/>
    </xf>
    <xf numFmtId="166" fontId="10" fillId="0" borderId="3" xfId="1" applyNumberFormat="1" applyFont="1" applyFill="1" applyBorder="1"/>
    <xf numFmtId="166" fontId="12" fillId="0" borderId="0" xfId="1" applyNumberFormat="1" applyFont="1" applyFill="1"/>
    <xf numFmtId="0" fontId="10" fillId="0" borderId="0" xfId="17" applyFont="1"/>
    <xf numFmtId="0" fontId="10" fillId="0" borderId="0" xfId="17" quotePrefix="1" applyFont="1"/>
    <xf numFmtId="0" fontId="12" fillId="0" borderId="0" xfId="20" applyFont="1"/>
    <xf numFmtId="166" fontId="12" fillId="0" borderId="0" xfId="1" applyNumberFormat="1" applyFont="1" applyFill="1" applyBorder="1"/>
    <xf numFmtId="166" fontId="12" fillId="0" borderId="4" xfId="1" applyNumberFormat="1" applyFont="1" applyFill="1" applyBorder="1"/>
    <xf numFmtId="166" fontId="11" fillId="0" borderId="5" xfId="1" applyNumberFormat="1" applyFont="1" applyFill="1" applyBorder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wrapText="1"/>
    </xf>
    <xf numFmtId="166" fontId="10" fillId="0" borderId="0" xfId="1" applyNumberFormat="1" applyFont="1" applyBorder="1"/>
    <xf numFmtId="166" fontId="9" fillId="0" borderId="0" xfId="1" applyNumberFormat="1" applyFont="1" applyBorder="1"/>
    <xf numFmtId="0" fontId="10" fillId="0" borderId="0" xfId="8" applyFont="1" applyAlignment="1">
      <alignment horizontal="left" vertical="center"/>
    </xf>
    <xf numFmtId="43" fontId="8" fillId="0" borderId="0" xfId="1" applyFont="1" applyFill="1" applyAlignment="1">
      <alignment horizontal="center"/>
    </xf>
    <xf numFmtId="43" fontId="8" fillId="0" borderId="2" xfId="1" applyFont="1" applyFill="1" applyBorder="1"/>
    <xf numFmtId="43" fontId="8" fillId="0" borderId="2" xfId="1" applyFont="1" applyFill="1" applyBorder="1" applyAlignment="1">
      <alignment horizontal="center"/>
    </xf>
    <xf numFmtId="43" fontId="8" fillId="0" borderId="0" xfId="1" applyFont="1"/>
    <xf numFmtId="43" fontId="8" fillId="0" borderId="0" xfId="1" applyFont="1" applyBorder="1"/>
    <xf numFmtId="43" fontId="8" fillId="0" borderId="0" xfId="1" applyFont="1" applyFill="1" applyBorder="1" applyAlignment="1">
      <alignment vertical="center"/>
    </xf>
    <xf numFmtId="43" fontId="8" fillId="0" borderId="0" xfId="1" applyFont="1" applyFill="1" applyBorder="1"/>
    <xf numFmtId="43" fontId="8" fillId="0" borderId="0" xfId="1" applyFont="1" applyAlignment="1">
      <alignment horizontal="center"/>
    </xf>
    <xf numFmtId="43" fontId="8" fillId="0" borderId="4" xfId="1" applyFont="1" applyBorder="1" applyAlignment="1">
      <alignment horizontal="center"/>
    </xf>
    <xf numFmtId="43" fontId="8" fillId="0" borderId="5" xfId="1" applyFont="1" applyBorder="1"/>
    <xf numFmtId="43" fontId="7" fillId="0" borderId="0" xfId="1" applyFont="1" applyBorder="1"/>
    <xf numFmtId="43" fontId="8" fillId="0" borderId="3" xfId="1" applyFont="1" applyFill="1" applyBorder="1"/>
    <xf numFmtId="43" fontId="7" fillId="0" borderId="2" xfId="1" applyFont="1" applyFill="1" applyBorder="1"/>
    <xf numFmtId="43" fontId="8" fillId="0" borderId="1" xfId="1" applyFont="1" applyFill="1" applyBorder="1"/>
    <xf numFmtId="43" fontId="12" fillId="0" borderId="0" xfId="1" applyFont="1" applyAlignment="1">
      <alignment horizontal="center" vertical="center" wrapText="1"/>
    </xf>
    <xf numFmtId="43" fontId="11" fillId="0" borderId="0" xfId="1" applyFont="1"/>
    <xf numFmtId="43" fontId="8" fillId="0" borderId="0" xfId="1" applyFont="1" applyBorder="1" applyAlignment="1" applyProtection="1">
      <alignment horizontal="center"/>
    </xf>
    <xf numFmtId="43" fontId="8" fillId="0" borderId="2" xfId="1" applyFont="1" applyBorder="1" applyAlignment="1" applyProtection="1">
      <alignment horizontal="center"/>
    </xf>
    <xf numFmtId="43" fontId="10" fillId="0" borderId="2" xfId="1" applyFont="1" applyBorder="1" applyAlignment="1" applyProtection="1">
      <alignment horizontal="left" vertical="center"/>
    </xf>
    <xf numFmtId="43" fontId="10" fillId="0" borderId="0" xfId="1" applyFont="1" applyBorder="1" applyAlignment="1" applyProtection="1">
      <alignment horizontal="left" vertical="center"/>
    </xf>
    <xf numFmtId="43" fontId="10" fillId="0" borderId="0" xfId="1" applyFont="1" applyBorder="1" applyProtection="1"/>
    <xf numFmtId="166" fontId="12" fillId="0" borderId="3" xfId="1" applyNumberFormat="1" applyFont="1" applyFill="1" applyBorder="1" applyAlignment="1">
      <alignment horizontal="center"/>
    </xf>
    <xf numFmtId="43" fontId="8" fillId="0" borderId="0" xfId="1" applyFont="1" applyAlignment="1">
      <alignment horizontal="center" vertical="center" readingOrder="1"/>
    </xf>
    <xf numFmtId="43" fontId="7" fillId="0" borderId="2" xfId="1" applyFont="1" applyBorder="1"/>
    <xf numFmtId="43" fontId="12" fillId="0" borderId="0" xfId="0" applyNumberFormat="1" applyFont="1" applyAlignment="1">
      <alignment horizontal="center" wrapText="1"/>
    </xf>
    <xf numFmtId="43" fontId="12" fillId="0" borderId="0" xfId="1" applyFont="1" applyAlignment="1">
      <alignment horizontal="center" wrapText="1"/>
    </xf>
    <xf numFmtId="43" fontId="9" fillId="0" borderId="2" xfId="1" applyFont="1" applyBorder="1"/>
    <xf numFmtId="43" fontId="12" fillId="0" borderId="0" xfId="0" applyNumberFormat="1" applyFont="1" applyAlignment="1">
      <alignment horizontal="center"/>
    </xf>
    <xf numFmtId="166" fontId="8" fillId="0" borderId="0" xfId="1" applyNumberFormat="1" applyFont="1" applyFill="1"/>
    <xf numFmtId="0" fontId="13" fillId="0" borderId="0" xfId="0" applyFont="1"/>
    <xf numFmtId="166" fontId="8" fillId="0" borderId="0" xfId="0" applyNumberFormat="1" applyFont="1"/>
    <xf numFmtId="0" fontId="8" fillId="0" borderId="0" xfId="0" applyFont="1" applyAlignment="1">
      <alignment horizontal="left" vertical="top"/>
    </xf>
    <xf numFmtId="49" fontId="8" fillId="0" borderId="0" xfId="0" applyNumberFormat="1" applyFont="1" applyAlignment="1">
      <alignment readingOrder="1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166" fontId="9" fillId="0" borderId="0" xfId="19" applyNumberFormat="1" applyFont="1" applyFill="1" applyAlignment="1">
      <alignment horizontal="right"/>
    </xf>
    <xf numFmtId="0" fontId="18" fillId="0" borderId="0" xfId="0" applyFont="1"/>
    <xf numFmtId="43" fontId="18" fillId="0" borderId="0" xfId="0" applyNumberFormat="1" applyFont="1"/>
    <xf numFmtId="0" fontId="18" fillId="0" borderId="0" xfId="0" applyFont="1" applyAlignment="1">
      <alignment horizontal="left"/>
    </xf>
    <xf numFmtId="166" fontId="18" fillId="0" borderId="0" xfId="0" applyNumberFormat="1" applyFont="1"/>
    <xf numFmtId="43" fontId="0" fillId="0" borderId="0" xfId="1" applyFont="1"/>
    <xf numFmtId="17" fontId="0" fillId="0" borderId="0" xfId="0" applyNumberFormat="1"/>
    <xf numFmtId="43" fontId="0" fillId="0" borderId="2" xfId="1" applyFont="1" applyBorder="1"/>
    <xf numFmtId="43" fontId="0" fillId="2" borderId="2" xfId="1" applyFont="1" applyFill="1" applyBorder="1"/>
    <xf numFmtId="0" fontId="9" fillId="0" borderId="0" xfId="0" applyFont="1" applyFill="1"/>
    <xf numFmtId="166" fontId="12" fillId="0" borderId="0" xfId="1" applyNumberFormat="1" applyFont="1"/>
    <xf numFmtId="0" fontId="11" fillId="0" borderId="0" xfId="0" applyFont="1" applyFill="1"/>
    <xf numFmtId="0" fontId="9" fillId="0" borderId="0" xfId="0" applyFont="1" applyFill="1" applyAlignment="1">
      <alignment vertical="center"/>
    </xf>
    <xf numFmtId="43" fontId="10" fillId="0" borderId="0" xfId="1" applyFont="1" applyAlignment="1">
      <alignment horizontal="center" vertical="center"/>
    </xf>
    <xf numFmtId="0" fontId="12" fillId="0" borderId="0" xfId="0" applyFont="1" applyFill="1"/>
    <xf numFmtId="0" fontId="10" fillId="0" borderId="0" xfId="0" applyFont="1" applyFill="1"/>
    <xf numFmtId="0" fontId="7" fillId="0" borderId="0" xfId="0" applyFont="1" applyFill="1"/>
    <xf numFmtId="43" fontId="12" fillId="0" borderId="2" xfId="1" applyFont="1" applyBorder="1"/>
    <xf numFmtId="0" fontId="12" fillId="0" borderId="0" xfId="0" applyFont="1" applyFill="1" applyAlignment="1">
      <alignment horizontal="left"/>
    </xf>
    <xf numFmtId="43" fontId="8" fillId="0" borderId="2" xfId="1" applyFont="1" applyFill="1" applyBorder="1" applyAlignment="1" applyProtection="1">
      <alignment horizont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quotePrefix="1" applyFont="1" applyFill="1" applyAlignment="1">
      <alignment horizontal="center"/>
    </xf>
    <xf numFmtId="166" fontId="11" fillId="0" borderId="0" xfId="0" applyNumberFormat="1" applyFont="1" applyFill="1"/>
    <xf numFmtId="0" fontId="12" fillId="0" borderId="0" xfId="0" applyFont="1" applyFill="1" applyAlignment="1">
      <alignment wrapText="1"/>
    </xf>
    <xf numFmtId="0" fontId="10" fillId="0" borderId="0" xfId="0" applyFont="1" applyFill="1" applyAlignment="1">
      <alignment horizontal="center"/>
    </xf>
    <xf numFmtId="0" fontId="10" fillId="0" borderId="0" xfId="22" applyFont="1" applyFill="1"/>
    <xf numFmtId="0" fontId="8" fillId="0" borderId="0" xfId="0" applyFont="1" applyFill="1"/>
    <xf numFmtId="43" fontId="10" fillId="0" borderId="0" xfId="0" applyNumberFormat="1" applyFont="1" applyFill="1"/>
    <xf numFmtId="0" fontId="12" fillId="0" borderId="0" xfId="0" applyFont="1"/>
    <xf numFmtId="165" fontId="7" fillId="0" borderId="0" xfId="1" applyNumberFormat="1" applyFont="1" applyFill="1" applyAlignment="1">
      <alignment horizontal="center"/>
    </xf>
    <xf numFmtId="0" fontId="10" fillId="0" borderId="0" xfId="0" applyFont="1"/>
    <xf numFmtId="43" fontId="10" fillId="0" borderId="0" xfId="1" applyFont="1" applyFill="1"/>
    <xf numFmtId="166" fontId="10" fillId="0" borderId="0" xfId="1" applyNumberFormat="1" applyFont="1" applyFill="1"/>
    <xf numFmtId="43" fontId="12" fillId="0" borderId="0" xfId="1" applyFont="1"/>
    <xf numFmtId="0" fontId="1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166" fontId="12" fillId="0" borderId="0" xfId="1" applyNumberFormat="1" applyFont="1" applyFill="1" applyAlignment="1">
      <alignment horizontal="center" vertical="center" wrapText="1"/>
    </xf>
    <xf numFmtId="166" fontId="10" fillId="0" borderId="4" xfId="1" applyNumberFormat="1" applyFont="1" applyFill="1" applyBorder="1"/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wrapText="1"/>
    </xf>
    <xf numFmtId="43" fontId="12" fillId="0" borderId="0" xfId="1" applyFont="1" applyFill="1" applyBorder="1" applyAlignment="1">
      <alignment wrapText="1"/>
    </xf>
    <xf numFmtId="43" fontId="12" fillId="0" borderId="0" xfId="1" applyFont="1" applyFill="1"/>
    <xf numFmtId="43" fontId="12" fillId="0" borderId="1" xfId="1" applyFont="1" applyFill="1" applyBorder="1"/>
    <xf numFmtId="43" fontId="12" fillId="0" borderId="3" xfId="1" applyFont="1" applyFill="1" applyBorder="1"/>
    <xf numFmtId="43" fontId="12" fillId="0" borderId="2" xfId="1" applyFont="1" applyFill="1" applyBorder="1"/>
    <xf numFmtId="43" fontId="12" fillId="0" borderId="0" xfId="0" applyNumberFormat="1" applyFont="1" applyAlignment="1">
      <alignment horizontal="center" wrapText="1"/>
    </xf>
    <xf numFmtId="43" fontId="9" fillId="0" borderId="0" xfId="1" applyFont="1" applyAlignment="1">
      <alignment horizontal="center" vertical="center"/>
    </xf>
    <xf numFmtId="43" fontId="12" fillId="0" borderId="0" xfId="1" applyFont="1" applyAlignment="1">
      <alignment horizontal="center" wrapText="1"/>
    </xf>
    <xf numFmtId="43" fontId="9" fillId="0" borderId="2" xfId="1" applyFont="1" applyBorder="1"/>
    <xf numFmtId="43" fontId="12" fillId="0" borderId="0" xfId="0" applyNumberFormat="1" applyFont="1" applyAlignment="1">
      <alignment horizontal="center"/>
    </xf>
    <xf numFmtId="0" fontId="18" fillId="0" borderId="0" xfId="0" applyFont="1"/>
    <xf numFmtId="166" fontId="12" fillId="0" borderId="4" xfId="0" applyNumberFormat="1" applyFont="1" applyBorder="1"/>
    <xf numFmtId="166" fontId="9" fillId="0" borderId="0" xfId="19" applyNumberFormat="1" applyFont="1" applyFill="1" applyAlignment="1">
      <alignment horizontal="right"/>
    </xf>
    <xf numFmtId="43" fontId="10" fillId="0" borderId="2" xfId="1" applyFont="1" applyFill="1" applyBorder="1"/>
    <xf numFmtId="166" fontId="12" fillId="0" borderId="4" xfId="1" applyNumberFormat="1" applyFont="1" applyBorder="1"/>
    <xf numFmtId="166" fontId="12" fillId="0" borderId="2" xfId="1" applyNumberFormat="1" applyFont="1" applyBorder="1"/>
    <xf numFmtId="0" fontId="21" fillId="0" borderId="0" xfId="0" applyFont="1"/>
    <xf numFmtId="166" fontId="22" fillId="0" borderId="0" xfId="0" applyNumberFormat="1" applyFont="1" applyAlignment="1">
      <alignment horizontal="center" vertical="top"/>
    </xf>
    <xf numFmtId="166" fontId="22" fillId="0" borderId="0" xfId="1" applyNumberFormat="1" applyFont="1" applyFill="1" applyAlignment="1">
      <alignment horizontal="center" vertical="top"/>
    </xf>
    <xf numFmtId="0" fontId="22" fillId="0" borderId="0" xfId="0" applyFont="1" applyAlignment="1">
      <alignment horizontal="left" vertical="top"/>
    </xf>
    <xf numFmtId="166" fontId="0" fillId="0" borderId="0" xfId="1" applyNumberFormat="1" applyFont="1" applyFill="1" applyAlignment="1">
      <alignment vertical="top"/>
    </xf>
    <xf numFmtId="0" fontId="23" fillId="0" borderId="0" xfId="0" applyFont="1" applyAlignment="1">
      <alignment horizontal="left" vertical="top"/>
    </xf>
    <xf numFmtId="166" fontId="0" fillId="0" borderId="0" xfId="1" applyNumberFormat="1" applyFont="1" applyFill="1" applyBorder="1"/>
    <xf numFmtId="166" fontId="23" fillId="0" borderId="0" xfId="1" applyNumberFormat="1" applyFont="1" applyFill="1" applyAlignment="1">
      <alignment vertical="top"/>
    </xf>
    <xf numFmtId="0" fontId="23" fillId="0" borderId="0" xfId="0" applyFont="1" applyAlignment="1">
      <alignment vertical="top"/>
    </xf>
    <xf numFmtId="0" fontId="21" fillId="0" borderId="0" xfId="0" applyFont="1" applyAlignment="1">
      <alignment horizontal="left" vertical="top"/>
    </xf>
    <xf numFmtId="166" fontId="0" fillId="0" borderId="2" xfId="1" applyNumberFormat="1" applyFont="1" applyFill="1" applyBorder="1" applyAlignment="1">
      <alignment vertical="top"/>
    </xf>
    <xf numFmtId="166" fontId="24" fillId="0" borderId="0" xfId="1" applyNumberFormat="1" applyFont="1" applyFill="1" applyAlignment="1">
      <alignment vertical="top"/>
    </xf>
    <xf numFmtId="43" fontId="0" fillId="0" borderId="0" xfId="1" applyFont="1" applyFill="1"/>
    <xf numFmtId="166" fontId="23" fillId="0" borderId="0" xfId="1" applyNumberFormat="1" applyFont="1" applyFill="1"/>
    <xf numFmtId="0" fontId="25" fillId="0" borderId="0" xfId="5" applyFont="1" applyAlignment="1">
      <alignment horizontal="left" vertical="center"/>
    </xf>
    <xf numFmtId="0" fontId="26" fillId="0" borderId="0" xfId="5" applyFont="1" applyAlignment="1">
      <alignment horizontal="left" vertical="center"/>
    </xf>
    <xf numFmtId="0" fontId="25" fillId="0" borderId="6" xfId="5" applyFont="1" applyBorder="1" applyAlignment="1">
      <alignment horizontal="center" vertical="center"/>
    </xf>
    <xf numFmtId="0" fontId="25" fillId="0" borderId="6" xfId="5" applyFont="1" applyBorder="1" applyAlignment="1">
      <alignment horizontal="left" vertical="center" wrapText="1"/>
    </xf>
    <xf numFmtId="0" fontId="25" fillId="0" borderId="6" xfId="5" applyFont="1" applyBorder="1" applyAlignment="1">
      <alignment horizontal="left" vertical="center"/>
    </xf>
    <xf numFmtId="0" fontId="1" fillId="0" borderId="0" xfId="0" applyFont="1"/>
    <xf numFmtId="17" fontId="26" fillId="0" borderId="6" xfId="5" applyNumberFormat="1" applyFont="1" applyBorder="1" applyAlignment="1">
      <alignment horizontal="left" vertical="center"/>
    </xf>
    <xf numFmtId="166" fontId="26" fillId="0" borderId="6" xfId="1" quotePrefix="1" applyNumberFormat="1" applyFont="1" applyBorder="1" applyAlignment="1">
      <alignment horizontal="center" vertical="center"/>
    </xf>
    <xf numFmtId="43" fontId="26" fillId="0" borderId="6" xfId="1" applyFont="1" applyBorder="1" applyAlignment="1">
      <alignment horizontal="left" vertical="center"/>
    </xf>
    <xf numFmtId="43" fontId="26" fillId="0" borderId="6" xfId="5" applyNumberFormat="1" applyFont="1" applyBorder="1" applyAlignment="1">
      <alignment horizontal="left" vertical="center"/>
    </xf>
    <xf numFmtId="43" fontId="26" fillId="0" borderId="0" xfId="5" applyNumberFormat="1" applyFont="1" applyAlignment="1">
      <alignment horizontal="left" vertical="center"/>
    </xf>
    <xf numFmtId="0" fontId="26" fillId="0" borderId="6" xfId="5" applyFont="1" applyBorder="1" applyAlignment="1">
      <alignment horizontal="left" vertical="center"/>
    </xf>
    <xf numFmtId="43" fontId="25" fillId="0" borderId="6" xfId="5" applyNumberFormat="1" applyFont="1" applyBorder="1" applyAlignment="1">
      <alignment horizontal="left" vertical="center"/>
    </xf>
    <xf numFmtId="43" fontId="12" fillId="3" borderId="0" xfId="1" applyFont="1" applyFill="1"/>
    <xf numFmtId="43" fontId="12" fillId="3" borderId="0" xfId="1" applyFont="1" applyFill="1" applyAlignment="1">
      <alignment horizontal="center" vertical="center" wrapText="1"/>
    </xf>
    <xf numFmtId="43" fontId="11" fillId="3" borderId="0" xfId="1" applyFont="1" applyFill="1" applyAlignment="1">
      <alignment horizontal="center" vertical="center" wrapText="1"/>
    </xf>
    <xf numFmtId="43" fontId="10" fillId="3" borderId="0" xfId="1" applyFont="1" applyFill="1"/>
    <xf numFmtId="0" fontId="22" fillId="0" borderId="0" xfId="0" applyFont="1" applyAlignment="1">
      <alignment horizontal="center" vertical="top"/>
    </xf>
    <xf numFmtId="0" fontId="8" fillId="0" borderId="0" xfId="0" applyFont="1" applyFill="1" applyAlignment="1">
      <alignment horizontal="center"/>
    </xf>
    <xf numFmtId="0" fontId="27" fillId="0" borderId="0" xfId="0" applyFont="1" applyAlignment="1">
      <alignment horizontal="left" vertical="top"/>
    </xf>
    <xf numFmtId="0" fontId="0" fillId="0" borderId="6" xfId="0" applyBorder="1"/>
    <xf numFmtId="43" fontId="0" fillId="0" borderId="6" xfId="1" applyFont="1" applyFill="1" applyBorder="1"/>
  </cellXfs>
  <cellStyles count="23">
    <cellStyle name="Comma" xfId="1" builtinId="3"/>
    <cellStyle name="Comma 10" xfId="11" xr:uid="{00000000-0005-0000-0000-000001000000}"/>
    <cellStyle name="Comma 10 10" xfId="4" xr:uid="{00000000-0005-0000-0000-000002000000}"/>
    <cellStyle name="Comma 10 2 2" xfId="14" xr:uid="{00000000-0005-0000-0000-000003000000}"/>
    <cellStyle name="Comma 2" xfId="21" xr:uid="{00000000-0005-0000-0000-000004000000}"/>
    <cellStyle name="Comma 2 2 11" xfId="18" xr:uid="{00000000-0005-0000-0000-000005000000}"/>
    <cellStyle name="Comma 3" xfId="19" xr:uid="{00000000-0005-0000-0000-000006000000}"/>
    <cellStyle name="Normal" xfId="0" builtinId="0"/>
    <cellStyle name="Normal 13 11 2" xfId="3" xr:uid="{00000000-0005-0000-0000-000008000000}"/>
    <cellStyle name="Normal 2" xfId="10" xr:uid="{00000000-0005-0000-0000-000009000000}"/>
    <cellStyle name="Normal 2 10 2" xfId="16" xr:uid="{00000000-0005-0000-0000-00000A000000}"/>
    <cellStyle name="Normal 2 2 10" xfId="6" xr:uid="{00000000-0005-0000-0000-00000B000000}"/>
    <cellStyle name="Normal 2 2 2" xfId="17" xr:uid="{00000000-0005-0000-0000-00000C000000}"/>
    <cellStyle name="Normal 2 7 3" xfId="13" xr:uid="{00000000-0005-0000-0000-00000D000000}"/>
    <cellStyle name="Normal 3" xfId="15" xr:uid="{00000000-0005-0000-0000-00000E000000}"/>
    <cellStyle name="Normal 7" xfId="20" xr:uid="{00000000-0005-0000-0000-00000F000000}"/>
    <cellStyle name="Normal 86" xfId="2" xr:uid="{00000000-0005-0000-0000-000010000000}"/>
    <cellStyle name="Normal 87" xfId="5" xr:uid="{00000000-0005-0000-0000-000011000000}"/>
    <cellStyle name="Normal 88" xfId="7" xr:uid="{00000000-0005-0000-0000-000012000000}"/>
    <cellStyle name="Normal 89" xfId="8" xr:uid="{00000000-0005-0000-0000-000013000000}"/>
    <cellStyle name="Normal_Ajax - 2006-07" xfId="22" xr:uid="{F413FAA8-0C1C-4FA2-A218-0040D496DDC0}"/>
    <cellStyle name="Percent" xfId="9" builtinId="5"/>
    <cellStyle name="Percent 2" xfId="1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223760" y="5669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ifraz\Home%20Makers\1516\Home%20Makers%2015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dit%20&amp;%20Tax%20file\Associate%20Professional%20Services%20(pvt)%20ltd\Audited%20Accounts\2324\APS%20Audited%20Accounts%2023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P&amp;L"/>
      <sheetName val="B S"/>
      <sheetName val="ES"/>
      <sheetName val="CF"/>
      <sheetName val="Notes"/>
      <sheetName val="Com &amp; Aj Pro"/>
      <sheetName val="Cap Allo"/>
      <sheetName val="Deem Dividend"/>
    </sheetNames>
    <sheetDataSet>
      <sheetData sheetId="0">
        <row r="1">
          <cell r="A1" t="str">
            <v>HOME MAKERS (PVT) LTD</v>
          </cell>
        </row>
      </sheetData>
      <sheetData sheetId="1">
        <row r="2">
          <cell r="A2" t="str">
            <v>HOME MAKERS (PVT) LTD</v>
          </cell>
        </row>
      </sheetData>
      <sheetData sheetId="2">
        <row r="14">
          <cell r="A14" t="str">
            <v>Housing Stock</v>
          </cell>
        </row>
      </sheetData>
      <sheetData sheetId="3">
        <row r="2">
          <cell r="A2" t="str">
            <v>HOME MAKERS (PVT) LTD</v>
          </cell>
        </row>
      </sheetData>
      <sheetData sheetId="4">
        <row r="2">
          <cell r="A2" t="str">
            <v>HOME MAKERS (PVT) LTD</v>
          </cell>
        </row>
      </sheetData>
      <sheetData sheetId="5">
        <row r="2">
          <cell r="A2" t="str">
            <v>HOME MAKERS (PVT) LTD</v>
          </cell>
        </row>
      </sheetData>
      <sheetData sheetId="6">
        <row r="3">
          <cell r="A3" t="str">
            <v>HOME MAKERS (PVT) LTD</v>
          </cell>
        </row>
      </sheetData>
      <sheetData sheetId="7">
        <row r="23">
          <cell r="F23">
            <v>835838.8395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E Working"/>
      <sheetName val="Bank"/>
      <sheetName val="Invoice"/>
      <sheetName val="Expenses"/>
      <sheetName val="TB"/>
      <sheetName val="Income"/>
      <sheetName val="BS"/>
      <sheetName val="CE"/>
      <sheetName val="CF"/>
      <sheetName val="P9"/>
      <sheetName val="P10"/>
      <sheetName val="P11"/>
      <sheetName val="Income Tax"/>
    </sheetNames>
    <sheetDataSet>
      <sheetData sheetId="0"/>
      <sheetData sheetId="1"/>
      <sheetData sheetId="2"/>
      <sheetData sheetId="3"/>
      <sheetData sheetId="4"/>
      <sheetData sheetId="5">
        <row r="6">
          <cell r="D6" t="str">
            <v>Rs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7"/>
  <sheetViews>
    <sheetView workbookViewId="0">
      <selection activeCell="D12" sqref="D12"/>
    </sheetView>
  </sheetViews>
  <sheetFormatPr defaultRowHeight="13.8" x14ac:dyDescent="0.3"/>
  <cols>
    <col min="1" max="1" width="19.109375" style="223" bestFit="1" customWidth="1"/>
    <col min="2" max="2" width="11.77734375" style="223" customWidth="1"/>
    <col min="3" max="3" width="11.6640625" style="223" bestFit="1" customWidth="1"/>
    <col min="4" max="4" width="12.5546875" style="223" bestFit="1" customWidth="1"/>
    <col min="5" max="5" width="14.6640625" style="223" customWidth="1"/>
    <col min="6" max="6" width="12" style="223" customWidth="1"/>
    <col min="7" max="7" width="12.5546875" style="223" customWidth="1"/>
    <col min="8" max="8" width="8.88671875" style="223"/>
    <col min="9" max="9" width="10.6640625" style="223" bestFit="1" customWidth="1"/>
    <col min="10" max="16384" width="8.88671875" style="223"/>
  </cols>
  <sheetData>
    <row r="1" spans="1:9" x14ac:dyDescent="0.3">
      <c r="A1" s="222" t="s">
        <v>112</v>
      </c>
      <c r="C1" s="222"/>
    </row>
    <row r="3" spans="1:9" ht="27.6" x14ac:dyDescent="0.3">
      <c r="A3" s="224" t="s">
        <v>113</v>
      </c>
      <c r="B3" s="225" t="s">
        <v>114</v>
      </c>
      <c r="C3" s="224" t="s">
        <v>117</v>
      </c>
      <c r="D3" s="226" t="s">
        <v>107</v>
      </c>
      <c r="E3" s="225" t="s">
        <v>115</v>
      </c>
      <c r="F3" s="225" t="s">
        <v>154</v>
      </c>
      <c r="G3" s="225" t="s">
        <v>116</v>
      </c>
    </row>
    <row r="4" spans="1:9" ht="14.4" x14ac:dyDescent="0.3">
      <c r="A4" s="227" t="s">
        <v>108</v>
      </c>
      <c r="B4" s="228">
        <v>45385</v>
      </c>
      <c r="C4" s="229">
        <v>5</v>
      </c>
      <c r="D4" s="230">
        <v>153700</v>
      </c>
      <c r="E4" s="228">
        <v>45728</v>
      </c>
      <c r="F4" s="230">
        <f t="shared" ref="F4" si="0">E4-B4</f>
        <v>343</v>
      </c>
      <c r="G4" s="231">
        <f>(D4/C4)*(F4/365)</f>
        <v>28887.178082191782</v>
      </c>
      <c r="I4" s="232"/>
    </row>
    <row r="5" spans="1:9" x14ac:dyDescent="0.3">
      <c r="A5" s="226" t="s">
        <v>27</v>
      </c>
      <c r="B5" s="233"/>
      <c r="C5" s="233"/>
      <c r="D5" s="234">
        <f>SUM(D4:D4)</f>
        <v>153700</v>
      </c>
      <c r="E5" s="233"/>
      <c r="F5" s="233"/>
      <c r="G5" s="234">
        <f>SUM(G4:G4)</f>
        <v>28887.178082191782</v>
      </c>
    </row>
    <row r="7" spans="1:9" x14ac:dyDescent="0.3">
      <c r="D7" s="2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91A8-AC8E-4BB6-A21B-06A29BC55837}">
  <sheetPr codeName="Sheet2"/>
  <dimension ref="A1:D15"/>
  <sheetViews>
    <sheetView workbookViewId="0">
      <selection activeCell="B6" sqref="B6"/>
    </sheetView>
  </sheetViews>
  <sheetFormatPr defaultRowHeight="14.4" x14ac:dyDescent="0.3"/>
  <cols>
    <col min="1" max="1" width="27.6640625" bestFit="1" customWidth="1"/>
    <col min="2" max="2" width="12.5546875" bestFit="1" customWidth="1"/>
    <col min="3" max="3" width="10.109375" bestFit="1" customWidth="1"/>
  </cols>
  <sheetData>
    <row r="1" spans="1:4" x14ac:dyDescent="0.3">
      <c r="A1" s="208" t="s">
        <v>146</v>
      </c>
    </row>
    <row r="2" spans="1:4" x14ac:dyDescent="0.3">
      <c r="A2" t="s">
        <v>105</v>
      </c>
      <c r="B2" s="157">
        <v>2328236</v>
      </c>
    </row>
    <row r="3" spans="1:4" x14ac:dyDescent="0.3">
      <c r="B3" s="157"/>
    </row>
    <row r="4" spans="1:4" x14ac:dyDescent="0.3">
      <c r="A4" s="208" t="s">
        <v>173</v>
      </c>
      <c r="B4" s="157"/>
    </row>
    <row r="5" spans="1:4" x14ac:dyDescent="0.3">
      <c r="A5" t="s">
        <v>144</v>
      </c>
      <c r="B5" s="220">
        <v>99975</v>
      </c>
    </row>
    <row r="6" spans="1:4" x14ac:dyDescent="0.3">
      <c r="A6" s="242" t="s">
        <v>145</v>
      </c>
      <c r="B6" s="243">
        <v>163480</v>
      </c>
    </row>
    <row r="7" spans="1:4" x14ac:dyDescent="0.3">
      <c r="B7" s="157"/>
    </row>
    <row r="8" spans="1:4" x14ac:dyDescent="0.3">
      <c r="A8" s="208" t="s">
        <v>19</v>
      </c>
      <c r="C8" t="s">
        <v>147</v>
      </c>
    </row>
    <row r="9" spans="1:4" x14ac:dyDescent="0.3">
      <c r="B9" s="157"/>
    </row>
    <row r="10" spans="1:4" x14ac:dyDescent="0.3">
      <c r="B10" s="157"/>
    </row>
    <row r="11" spans="1:4" x14ac:dyDescent="0.3">
      <c r="A11" s="208" t="s">
        <v>174</v>
      </c>
      <c r="B11" s="157"/>
    </row>
    <row r="12" spans="1:4" x14ac:dyDescent="0.3">
      <c r="A12" t="s">
        <v>148</v>
      </c>
      <c r="B12" t="s">
        <v>149</v>
      </c>
      <c r="C12" t="s">
        <v>150</v>
      </c>
      <c r="D12" t="s">
        <v>151</v>
      </c>
    </row>
    <row r="13" spans="1:4" x14ac:dyDescent="0.3">
      <c r="A13" s="158">
        <v>45597</v>
      </c>
      <c r="B13" s="157">
        <v>4200</v>
      </c>
      <c r="C13" s="157">
        <f>B13*12/20</f>
        <v>2520</v>
      </c>
      <c r="D13" s="157">
        <f>C13*3/12</f>
        <v>630</v>
      </c>
    </row>
    <row r="14" spans="1:4" ht="15" thickBot="1" x14ac:dyDescent="0.35">
      <c r="A14" t="s">
        <v>27</v>
      </c>
      <c r="B14" s="159">
        <f>SUM(B13:B13)</f>
        <v>4200</v>
      </c>
      <c r="C14" s="160">
        <f>SUM(C13:C13)</f>
        <v>2520</v>
      </c>
      <c r="D14" s="160">
        <f>SUM(D13:D13)</f>
        <v>630</v>
      </c>
    </row>
    <row r="15" spans="1:4" ht="15" thickTop="1" x14ac:dyDescent="0.3">
      <c r="B15" s="157"/>
      <c r="C15" s="157"/>
      <c r="D15" s="15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28"/>
  <sheetViews>
    <sheetView workbookViewId="0">
      <selection activeCell="B8" sqref="B8"/>
    </sheetView>
  </sheetViews>
  <sheetFormatPr defaultColWidth="9.109375" defaultRowHeight="13.8" x14ac:dyDescent="0.25"/>
  <cols>
    <col min="1" max="1" width="25" style="155" bestFit="1" customWidth="1"/>
    <col min="2" max="2" width="11.109375" style="88" bestFit="1" customWidth="1"/>
    <col min="3" max="3" width="10" style="156" bestFit="1" customWidth="1"/>
    <col min="4" max="4" width="11.5546875" style="153" bestFit="1" customWidth="1"/>
    <col min="5" max="9" width="9.109375" style="153"/>
    <col min="10" max="10" width="11.5546875" style="153" bestFit="1" customWidth="1"/>
    <col min="11" max="16384" width="9.109375" style="153"/>
  </cols>
  <sheetData>
    <row r="1" spans="1:10" ht="14.4" x14ac:dyDescent="0.25">
      <c r="A1" s="239" t="s">
        <v>179</v>
      </c>
      <c r="B1" s="239"/>
      <c r="C1" s="239"/>
    </row>
    <row r="2" spans="1:10" ht="14.4" x14ac:dyDescent="0.25">
      <c r="A2" s="239" t="s">
        <v>16</v>
      </c>
      <c r="B2" s="239"/>
      <c r="C2" s="239"/>
    </row>
    <row r="3" spans="1:10" ht="14.4" x14ac:dyDescent="0.25">
      <c r="A3" s="239" t="s">
        <v>106</v>
      </c>
      <c r="B3" s="239"/>
      <c r="C3" s="239"/>
    </row>
    <row r="4" spans="1:10" ht="14.4" x14ac:dyDescent="0.25">
      <c r="A4" s="217" t="s">
        <v>178</v>
      </c>
      <c r="B4" s="209" t="s">
        <v>17</v>
      </c>
      <c r="C4" s="210" t="s">
        <v>18</v>
      </c>
    </row>
    <row r="5" spans="1:10" ht="14.4" x14ac:dyDescent="0.25">
      <c r="A5" s="211" t="s">
        <v>20</v>
      </c>
      <c r="B5" s="212"/>
      <c r="C5" s="212"/>
    </row>
    <row r="6" spans="1:10" ht="14.4" x14ac:dyDescent="0.25">
      <c r="A6" s="213" t="s">
        <v>118</v>
      </c>
      <c r="B6" s="219">
        <v>12560</v>
      </c>
      <c r="C6" s="212"/>
    </row>
    <row r="7" spans="1:10" ht="14.4" x14ac:dyDescent="0.25">
      <c r="A7" s="211" t="s">
        <v>19</v>
      </c>
      <c r="B7" s="212"/>
      <c r="C7" s="212"/>
      <c r="J7" s="154"/>
    </row>
    <row r="8" spans="1:10" ht="14.4" x14ac:dyDescent="0.25">
      <c r="A8" s="213" t="s">
        <v>108</v>
      </c>
      <c r="B8" s="212">
        <f>+PPE!D4</f>
        <v>153700</v>
      </c>
      <c r="C8" s="212"/>
      <c r="J8" s="154"/>
    </row>
    <row r="9" spans="1:10" ht="14.4" x14ac:dyDescent="0.25">
      <c r="A9" s="213" t="s">
        <v>120</v>
      </c>
      <c r="B9" s="212"/>
      <c r="C9" s="212">
        <f>+PPE!G5</f>
        <v>28887.178082191782</v>
      </c>
    </row>
    <row r="10" spans="1:10" ht="14.4" x14ac:dyDescent="0.25">
      <c r="A10" s="211" t="s">
        <v>175</v>
      </c>
      <c r="B10" s="212"/>
      <c r="C10" s="212"/>
    </row>
    <row r="11" spans="1:10" ht="14.4" x14ac:dyDescent="0.25">
      <c r="A11" s="213" t="s">
        <v>119</v>
      </c>
      <c r="B11" s="212"/>
      <c r="C11" s="212">
        <f>+B24</f>
        <v>15000</v>
      </c>
    </row>
    <row r="12" spans="1:10" ht="14.4" x14ac:dyDescent="0.25">
      <c r="A12" s="213" t="s">
        <v>99</v>
      </c>
      <c r="B12" s="212"/>
      <c r="C12" s="212">
        <f>+B26</f>
        <v>25000</v>
      </c>
    </row>
    <row r="13" spans="1:10" ht="14.4" x14ac:dyDescent="0.3">
      <c r="A13" s="208" t="s">
        <v>176</v>
      </c>
      <c r="B13" s="214"/>
      <c r="C13" s="215"/>
    </row>
    <row r="14" spans="1:10" ht="14.4" x14ac:dyDescent="0.25">
      <c r="A14" s="213" t="s">
        <v>21</v>
      </c>
      <c r="B14" s="212"/>
      <c r="C14" s="212">
        <f>1000*6</f>
        <v>6000</v>
      </c>
    </row>
    <row r="15" spans="1:10" ht="14.4" x14ac:dyDescent="0.25">
      <c r="A15" s="213" t="s">
        <v>157</v>
      </c>
      <c r="B15" s="212"/>
      <c r="C15" s="212">
        <v>1000000</v>
      </c>
    </row>
    <row r="16" spans="1:10" s="202" customFormat="1" ht="14.4" x14ac:dyDescent="0.25">
      <c r="A16" s="211" t="s">
        <v>146</v>
      </c>
      <c r="B16" s="212"/>
      <c r="C16" s="215"/>
    </row>
    <row r="17" spans="1:3" ht="14.4" x14ac:dyDescent="0.3">
      <c r="A17" s="216" t="s">
        <v>158</v>
      </c>
      <c r="B17" s="220">
        <v>112919.5</v>
      </c>
      <c r="C17" s="212"/>
    </row>
    <row r="18" spans="1:3" s="202" customFormat="1" ht="14.4" x14ac:dyDescent="0.3">
      <c r="A18" s="213" t="s">
        <v>105</v>
      </c>
      <c r="B18" s="212"/>
      <c r="C18" s="221">
        <f>+Working!B2</f>
        <v>2328236</v>
      </c>
    </row>
    <row r="19" spans="1:3" ht="14.4" x14ac:dyDescent="0.3">
      <c r="A19" s="208" t="s">
        <v>177</v>
      </c>
      <c r="B19" s="212"/>
      <c r="C19" s="212"/>
    </row>
    <row r="20" spans="1:3" s="202" customFormat="1" ht="14.4" x14ac:dyDescent="0.25">
      <c r="A20" s="241" t="s">
        <v>152</v>
      </c>
      <c r="B20" s="212">
        <v>12600</v>
      </c>
      <c r="C20" s="212"/>
    </row>
    <row r="21" spans="1:3" s="202" customFormat="1" ht="14.4" x14ac:dyDescent="0.25">
      <c r="A21" s="241" t="s">
        <v>153</v>
      </c>
      <c r="B21" s="212">
        <v>3150</v>
      </c>
      <c r="C21" s="212"/>
    </row>
    <row r="22" spans="1:3" ht="14.4" x14ac:dyDescent="0.25">
      <c r="A22" s="213" t="s">
        <v>155</v>
      </c>
      <c r="B22" s="212">
        <v>1220000</v>
      </c>
      <c r="C22" s="212"/>
    </row>
    <row r="23" spans="1:3" ht="14.4" x14ac:dyDescent="0.25">
      <c r="A23" s="213" t="s">
        <v>136</v>
      </c>
      <c r="B23" s="212">
        <v>1000</v>
      </c>
      <c r="C23" s="212"/>
    </row>
    <row r="24" spans="1:3" ht="14.4" x14ac:dyDescent="0.25">
      <c r="A24" s="213" t="s">
        <v>119</v>
      </c>
      <c r="B24" s="212">
        <v>15000</v>
      </c>
      <c r="C24" s="212"/>
    </row>
    <row r="25" spans="1:3" s="202" customFormat="1" ht="14.4" x14ac:dyDescent="0.25">
      <c r="A25" s="241" t="s">
        <v>145</v>
      </c>
      <c r="B25" s="212">
        <f>+Working!B6</f>
        <v>163480</v>
      </c>
      <c r="C25" s="212"/>
    </row>
    <row r="26" spans="1:3" ht="14.4" x14ac:dyDescent="0.25">
      <c r="A26" s="213" t="s">
        <v>99</v>
      </c>
      <c r="B26" s="212">
        <v>25000</v>
      </c>
      <c r="C26" s="212"/>
    </row>
    <row r="27" spans="1:3" ht="15" thickBot="1" x14ac:dyDescent="0.3">
      <c r="A27" s="217" t="s">
        <v>27</v>
      </c>
      <c r="B27" s="218">
        <f>SUM(B5:B26)</f>
        <v>1719409.5</v>
      </c>
      <c r="C27" s="218">
        <f>SUM(C5:C26)</f>
        <v>3403123.1780821919</v>
      </c>
    </row>
    <row r="28" spans="1:3" ht="14.4" thickTop="1" x14ac:dyDescent="0.25">
      <c r="B28" s="88">
        <f>B27-C27</f>
        <v>-1683713.6780821919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MD67"/>
  <sheetViews>
    <sheetView topLeftCell="A5" workbookViewId="0">
      <selection activeCell="G30" sqref="G30"/>
    </sheetView>
  </sheetViews>
  <sheetFormatPr defaultColWidth="9.109375" defaultRowHeight="14.4" x14ac:dyDescent="0.35"/>
  <cols>
    <col min="1" max="1" width="5" style="15" customWidth="1"/>
    <col min="2" max="2" width="22.5546875" style="2" customWidth="1"/>
    <col min="3" max="3" width="9.109375" style="2"/>
    <col min="4" max="4" width="10.109375" style="2" customWidth="1"/>
    <col min="5" max="5" width="12.5546875" style="38" customWidth="1"/>
    <col min="6" max="6" width="0.6640625" style="17" customWidth="1"/>
    <col min="7" max="7" width="15.21875" style="2" customWidth="1"/>
    <col min="8" max="8" width="12.6640625" style="2" hidden="1" customWidth="1"/>
    <col min="9" max="9" width="0.6640625" style="2" customWidth="1"/>
    <col min="10" max="10" width="11.77734375" style="2" customWidth="1"/>
    <col min="11" max="1018" width="9.109375" style="2"/>
    <col min="1019" max="16384" width="9.109375" style="13"/>
  </cols>
  <sheetData>
    <row r="1" spans="1:10" x14ac:dyDescent="0.35">
      <c r="A1" s="1" t="s">
        <v>142</v>
      </c>
      <c r="B1" s="1"/>
      <c r="C1" s="1"/>
      <c r="D1" s="1"/>
      <c r="E1" s="1"/>
      <c r="F1" s="1"/>
      <c r="G1" s="1"/>
      <c r="H1" s="1"/>
      <c r="I1" s="1"/>
      <c r="J1" s="152" t="s">
        <v>103</v>
      </c>
    </row>
    <row r="2" spans="1:10" x14ac:dyDescent="0.35">
      <c r="A2" s="79" t="s">
        <v>69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x14ac:dyDescent="0.35">
      <c r="A3" s="91" t="s">
        <v>79</v>
      </c>
      <c r="B3" s="80"/>
      <c r="C3" s="80"/>
      <c r="D3" s="80"/>
      <c r="E3" s="80"/>
      <c r="F3" s="80"/>
      <c r="G3" s="80"/>
      <c r="H3" s="80"/>
      <c r="I3" s="80"/>
      <c r="J3" s="10">
        <v>2025</v>
      </c>
    </row>
    <row r="4" spans="1:10" x14ac:dyDescent="0.35">
      <c r="A4" s="3"/>
      <c r="B4" s="53"/>
      <c r="C4" s="53"/>
      <c r="D4" s="53"/>
      <c r="H4" s="17"/>
      <c r="I4" s="17"/>
      <c r="J4" s="10" t="str">
        <f>[2]Income!D6</f>
        <v>Rs</v>
      </c>
    </row>
    <row r="5" spans="1:10" x14ac:dyDescent="0.35">
      <c r="A5" s="3"/>
      <c r="B5" s="53"/>
      <c r="C5" s="53"/>
      <c r="D5" s="53"/>
      <c r="H5" s="17"/>
      <c r="I5" s="17"/>
      <c r="J5" s="54"/>
    </row>
    <row r="6" spans="1:10" x14ac:dyDescent="0.35">
      <c r="A6" s="3">
        <v>9</v>
      </c>
      <c r="B6" s="55" t="s">
        <v>3</v>
      </c>
      <c r="C6" s="55"/>
      <c r="D6" s="55"/>
      <c r="H6" s="51"/>
      <c r="I6" s="51"/>
      <c r="J6" s="54"/>
    </row>
    <row r="7" spans="1:10" x14ac:dyDescent="0.35">
      <c r="A7" s="3"/>
      <c r="B7" s="56" t="s">
        <v>121</v>
      </c>
      <c r="C7" s="56"/>
      <c r="D7" s="56"/>
      <c r="H7" s="51"/>
      <c r="I7" s="51"/>
      <c r="J7" s="118">
        <f>+TB!B6</f>
        <v>12560</v>
      </c>
    </row>
    <row r="8" spans="1:10" ht="15" thickBot="1" x14ac:dyDescent="0.4">
      <c r="A8" s="3"/>
      <c r="B8" s="53"/>
      <c r="C8" s="53"/>
      <c r="D8" s="53"/>
      <c r="H8" s="52"/>
      <c r="I8" s="46"/>
      <c r="J8" s="133">
        <f>SUM(J7:J7)</f>
        <v>12560</v>
      </c>
    </row>
    <row r="9" spans="1:10" ht="15" thickTop="1" x14ac:dyDescent="0.35">
      <c r="A9" s="57"/>
      <c r="B9" s="53"/>
      <c r="C9" s="53"/>
      <c r="D9" s="53"/>
      <c r="H9" s="17"/>
      <c r="I9" s="17"/>
      <c r="J9" s="54"/>
    </row>
    <row r="10" spans="1:10" x14ac:dyDescent="0.35">
      <c r="A10" s="57">
        <v>10</v>
      </c>
      <c r="B10" s="87" t="s">
        <v>6</v>
      </c>
      <c r="C10" s="53"/>
      <c r="D10" s="53"/>
      <c r="H10" s="17"/>
      <c r="I10" s="17"/>
      <c r="J10" s="54"/>
    </row>
    <row r="11" spans="1:10" x14ac:dyDescent="0.35">
      <c r="A11" s="57"/>
      <c r="B11" s="53"/>
      <c r="C11" s="53"/>
      <c r="D11" s="53"/>
      <c r="H11" s="17"/>
      <c r="I11" s="17"/>
      <c r="J11" s="86" t="s">
        <v>72</v>
      </c>
    </row>
    <row r="12" spans="1:10" x14ac:dyDescent="0.35">
      <c r="A12" s="57"/>
      <c r="B12" s="53" t="s">
        <v>71</v>
      </c>
      <c r="C12" s="53"/>
      <c r="D12" s="53"/>
      <c r="H12" s="17"/>
      <c r="I12" s="17"/>
      <c r="J12" s="54">
        <v>6</v>
      </c>
    </row>
    <row r="13" spans="1:10" ht="15" thickBot="1" x14ac:dyDescent="0.4">
      <c r="A13" s="57"/>
      <c r="B13" s="53"/>
      <c r="C13" s="53"/>
      <c r="D13" s="53"/>
      <c r="H13" s="17"/>
      <c r="I13" s="17"/>
      <c r="J13" s="82">
        <f>SUM(J12)</f>
        <v>6</v>
      </c>
    </row>
    <row r="14" spans="1:10" ht="15" thickTop="1" x14ac:dyDescent="0.35">
      <c r="A14" s="57"/>
      <c r="B14" s="53"/>
      <c r="C14" s="53"/>
      <c r="D14" s="53"/>
      <c r="H14" s="17"/>
      <c r="I14" s="17"/>
      <c r="J14" s="54"/>
    </row>
    <row r="15" spans="1:10" x14ac:dyDescent="0.35">
      <c r="A15" s="57"/>
      <c r="B15" s="53"/>
      <c r="C15" s="53"/>
      <c r="D15" s="53"/>
      <c r="H15" s="17"/>
      <c r="I15" s="17"/>
      <c r="J15" s="86" t="s">
        <v>11</v>
      </c>
    </row>
    <row r="16" spans="1:10" x14ac:dyDescent="0.35">
      <c r="A16" s="57"/>
      <c r="B16" s="53" t="s">
        <v>73</v>
      </c>
      <c r="C16" s="53"/>
      <c r="D16" s="53"/>
      <c r="H16" s="17"/>
      <c r="I16" s="17"/>
      <c r="J16" s="134">
        <f>+TB!C14</f>
        <v>6000</v>
      </c>
    </row>
    <row r="17" spans="1:10" ht="15" thickBot="1" x14ac:dyDescent="0.4">
      <c r="A17" s="57"/>
      <c r="B17" s="53"/>
      <c r="C17" s="53"/>
      <c r="D17" s="53"/>
      <c r="H17" s="17"/>
      <c r="I17" s="17"/>
      <c r="J17" s="133">
        <f>SUM(J16)</f>
        <v>6000</v>
      </c>
    </row>
    <row r="18" spans="1:10" ht="15" thickTop="1" x14ac:dyDescent="0.35">
      <c r="A18" s="57"/>
      <c r="B18" s="53"/>
      <c r="C18" s="53"/>
      <c r="D18" s="53"/>
      <c r="H18" s="17"/>
      <c r="I18" s="17"/>
      <c r="J18" s="54"/>
    </row>
    <row r="19" spans="1:10" x14ac:dyDescent="0.35">
      <c r="A19" s="3">
        <v>11</v>
      </c>
      <c r="B19" s="58" t="s">
        <v>104</v>
      </c>
      <c r="C19" s="58"/>
      <c r="D19" s="58"/>
      <c r="H19" s="38"/>
      <c r="I19" s="17"/>
      <c r="J19" s="59"/>
    </row>
    <row r="20" spans="1:10" x14ac:dyDescent="0.35">
      <c r="A20" s="3"/>
      <c r="B20" s="114" t="s">
        <v>152</v>
      </c>
      <c r="C20" s="58"/>
      <c r="D20" s="58"/>
      <c r="H20" s="38"/>
      <c r="I20" s="17"/>
      <c r="J20" s="135">
        <f>TB!B20</f>
        <v>12600</v>
      </c>
    </row>
    <row r="21" spans="1:10" x14ac:dyDescent="0.35">
      <c r="A21" s="3"/>
      <c r="B21" s="114" t="s">
        <v>153</v>
      </c>
      <c r="C21" s="58"/>
      <c r="D21" s="58"/>
      <c r="H21" s="38"/>
      <c r="I21" s="17"/>
      <c r="J21" s="135">
        <f>TB!B21</f>
        <v>3150</v>
      </c>
    </row>
    <row r="22" spans="1:10" x14ac:dyDescent="0.35">
      <c r="A22" s="3"/>
      <c r="B22" s="114" t="s">
        <v>133</v>
      </c>
      <c r="C22" s="58"/>
      <c r="D22" s="58"/>
      <c r="H22" s="38"/>
      <c r="I22" s="17"/>
      <c r="J22" s="135">
        <f>+TB!C11</f>
        <v>15000</v>
      </c>
    </row>
    <row r="23" spans="1:10" x14ac:dyDescent="0.35">
      <c r="A23" s="3"/>
      <c r="B23" s="114" t="s">
        <v>99</v>
      </c>
      <c r="C23" s="58"/>
      <c r="D23" s="58"/>
      <c r="H23" s="38"/>
      <c r="I23" s="17"/>
      <c r="J23" s="135">
        <f>+TB!C12</f>
        <v>25000</v>
      </c>
    </row>
    <row r="24" spans="1:10" ht="15" thickBot="1" x14ac:dyDescent="0.4">
      <c r="A24" s="57"/>
      <c r="H24" s="17"/>
      <c r="I24" s="17"/>
      <c r="J24" s="133">
        <f>SUM(J20:J23)</f>
        <v>55750</v>
      </c>
    </row>
    <row r="25" spans="1:10" ht="15" thickTop="1" x14ac:dyDescent="0.35">
      <c r="A25" s="3"/>
      <c r="B25" s="61"/>
      <c r="C25" s="61"/>
      <c r="D25" s="61"/>
      <c r="H25" s="17"/>
      <c r="I25" s="17"/>
      <c r="J25" s="83"/>
    </row>
    <row r="26" spans="1:10" x14ac:dyDescent="0.35">
      <c r="H26" s="51"/>
      <c r="I26" s="51"/>
      <c r="J26" s="51"/>
    </row>
    <row r="27" spans="1:10" x14ac:dyDescent="0.35">
      <c r="H27" s="51"/>
      <c r="I27" s="51"/>
      <c r="J27" s="51"/>
    </row>
    <row r="28" spans="1:10" s="2" customFormat="1" x14ac:dyDescent="0.35">
      <c r="H28" s="46"/>
      <c r="I28" s="46"/>
      <c r="J28" s="51"/>
    </row>
    <row r="29" spans="1:10" x14ac:dyDescent="0.35">
      <c r="A29" s="2"/>
      <c r="E29" s="51"/>
      <c r="F29" s="51"/>
    </row>
    <row r="30" spans="1:10" x14ac:dyDescent="0.35">
      <c r="A30" s="2"/>
    </row>
    <row r="31" spans="1:10" x14ac:dyDescent="0.35">
      <c r="A31" s="2"/>
    </row>
    <row r="32" spans="1:10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</sheetData>
  <pageMargins left="0.85" right="0.5" top="0.75" bottom="0.17" header="0.17" footer="0.1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J23"/>
  <sheetViews>
    <sheetView zoomScaleNormal="100" zoomScaleSheetLayoutView="102" workbookViewId="0">
      <selection activeCell="L11" sqref="L11"/>
    </sheetView>
  </sheetViews>
  <sheetFormatPr defaultColWidth="8.88671875" defaultRowHeight="14.4" x14ac:dyDescent="0.35"/>
  <cols>
    <col min="1" max="1" width="15.33203125" style="13" customWidth="1"/>
    <col min="2" max="2" width="15.109375" style="13" customWidth="1"/>
    <col min="3" max="3" width="8.33203125" style="13" customWidth="1"/>
    <col min="4" max="4" width="11.88671875" style="13" customWidth="1"/>
    <col min="5" max="5" width="11.5546875" style="13" customWidth="1"/>
    <col min="6" max="6" width="0.5546875" style="13" customWidth="1"/>
    <col min="7" max="7" width="12.109375" style="13" customWidth="1"/>
    <col min="8" max="8" width="0.5546875" style="13" customWidth="1"/>
    <col min="9" max="9" width="12.21875" style="13" customWidth="1"/>
    <col min="10" max="16384" width="8.88671875" style="13"/>
  </cols>
  <sheetData>
    <row r="1" spans="1:10" x14ac:dyDescent="0.35">
      <c r="A1" s="1" t="s">
        <v>142</v>
      </c>
      <c r="B1" s="1"/>
      <c r="C1" s="1"/>
      <c r="D1" s="1"/>
      <c r="E1" s="1"/>
      <c r="F1" s="1"/>
      <c r="G1" s="1"/>
      <c r="H1" s="1"/>
      <c r="I1" s="152" t="s">
        <v>50</v>
      </c>
      <c r="J1" s="1"/>
    </row>
    <row r="2" spans="1:10" s="30" customFormat="1" x14ac:dyDescent="0.35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35">
      <c r="A3" s="1" t="s">
        <v>122</v>
      </c>
      <c r="B3" s="1"/>
      <c r="C3" s="1"/>
      <c r="D3" s="1"/>
      <c r="E3" s="1"/>
      <c r="F3" s="1"/>
      <c r="G3" s="1"/>
      <c r="H3" s="1"/>
      <c r="I3" s="1"/>
      <c r="J3" s="1"/>
    </row>
    <row r="4" spans="1:10" ht="28.8" x14ac:dyDescent="0.35">
      <c r="E4" s="90" t="s">
        <v>75</v>
      </c>
      <c r="F4" s="31"/>
      <c r="G4" s="90" t="s">
        <v>76</v>
      </c>
      <c r="H4" s="31"/>
      <c r="I4" s="90" t="s">
        <v>77</v>
      </c>
    </row>
    <row r="5" spans="1:10" x14ac:dyDescent="0.35">
      <c r="E5" s="31" t="s">
        <v>11</v>
      </c>
      <c r="F5" s="31"/>
      <c r="G5" s="31" t="s">
        <v>11</v>
      </c>
      <c r="H5" s="31"/>
      <c r="I5" s="31" t="s">
        <v>74</v>
      </c>
    </row>
    <row r="6" spans="1:10" x14ac:dyDescent="0.35">
      <c r="E6" s="31"/>
      <c r="F6" s="31"/>
      <c r="G6" s="31"/>
      <c r="H6" s="31"/>
      <c r="I6" s="31"/>
    </row>
    <row r="7" spans="1:10" x14ac:dyDescent="0.35">
      <c r="A7" s="13" t="s">
        <v>123</v>
      </c>
      <c r="E7" s="237">
        <v>0</v>
      </c>
      <c r="F7" s="84"/>
      <c r="G7" s="237">
        <v>0</v>
      </c>
      <c r="H7" s="84"/>
      <c r="I7" s="84">
        <v>0</v>
      </c>
    </row>
    <row r="8" spans="1:10" x14ac:dyDescent="0.35">
      <c r="E8" s="84"/>
      <c r="F8" s="84"/>
      <c r="G8" s="84"/>
      <c r="H8" s="84"/>
      <c r="I8" s="84"/>
    </row>
    <row r="9" spans="1:10" x14ac:dyDescent="0.35">
      <c r="A9" s="13" t="s">
        <v>70</v>
      </c>
      <c r="E9" s="129">
        <f>+TB!C14</f>
        <v>6000</v>
      </c>
      <c r="F9" s="129"/>
      <c r="G9" s="236">
        <v>0</v>
      </c>
      <c r="H9" s="129"/>
      <c r="I9" s="62">
        <f>+E9</f>
        <v>6000</v>
      </c>
    </row>
    <row r="10" spans="1:10" x14ac:dyDescent="0.35">
      <c r="E10" s="129"/>
      <c r="F10" s="129"/>
      <c r="G10" s="129"/>
      <c r="H10" s="129"/>
      <c r="I10" s="62"/>
    </row>
    <row r="11" spans="1:10" x14ac:dyDescent="0.35">
      <c r="A11" s="13" t="s">
        <v>159</v>
      </c>
      <c r="E11" s="235">
        <v>0</v>
      </c>
      <c r="F11" s="62"/>
      <c r="G11" s="62">
        <f>+PL!D16</f>
        <v>2123756</v>
      </c>
      <c r="H11" s="62"/>
      <c r="I11" s="62">
        <f>G11</f>
        <v>2123756</v>
      </c>
    </row>
    <row r="12" spans="1:10" x14ac:dyDescent="0.35">
      <c r="E12" s="62"/>
      <c r="F12" s="62"/>
      <c r="G12" s="62"/>
      <c r="H12" s="62"/>
      <c r="I12" s="62"/>
    </row>
    <row r="13" spans="1:10" ht="15" thickBot="1" x14ac:dyDescent="0.4">
      <c r="A13" s="13" t="s">
        <v>124</v>
      </c>
      <c r="E13" s="169">
        <f>SUM(E7:E11)</f>
        <v>6000</v>
      </c>
      <c r="F13" s="185"/>
      <c r="G13" s="169">
        <f>SUM(G7:G11)</f>
        <v>2123756</v>
      </c>
      <c r="H13" s="185"/>
      <c r="I13" s="169">
        <f>SUM(I7:I11)</f>
        <v>2129756</v>
      </c>
    </row>
    <row r="14" spans="1:10" ht="15" thickTop="1" x14ac:dyDescent="0.35">
      <c r="E14" s="130"/>
      <c r="F14" s="130"/>
      <c r="G14" s="130"/>
      <c r="H14" s="130"/>
      <c r="I14" s="130"/>
    </row>
    <row r="15" spans="1:10" x14ac:dyDescent="0.35">
      <c r="E15" s="33"/>
      <c r="F15" s="33"/>
      <c r="G15" s="33"/>
      <c r="H15" s="33"/>
      <c r="I15" s="33"/>
    </row>
    <row r="16" spans="1:10" x14ac:dyDescent="0.35">
      <c r="E16" s="33"/>
      <c r="F16" s="33"/>
      <c r="G16" s="33"/>
      <c r="H16" s="33"/>
      <c r="I16" s="33"/>
    </row>
    <row r="17" spans="1:9" x14ac:dyDescent="0.35">
      <c r="E17" s="33"/>
      <c r="F17" s="33"/>
      <c r="G17" s="33"/>
      <c r="H17" s="33"/>
      <c r="I17" s="33"/>
    </row>
    <row r="18" spans="1:9" x14ac:dyDescent="0.35">
      <c r="E18" s="33"/>
      <c r="F18" s="33"/>
      <c r="G18" s="33"/>
      <c r="H18" s="33"/>
      <c r="I18" s="33"/>
    </row>
    <row r="19" spans="1:9" x14ac:dyDescent="0.35">
      <c r="E19" s="33"/>
      <c r="F19" s="33"/>
      <c r="G19" s="33"/>
      <c r="H19" s="33"/>
      <c r="I19" s="33"/>
    </row>
    <row r="21" spans="1:9" x14ac:dyDescent="0.35">
      <c r="A21" s="13" t="s">
        <v>32</v>
      </c>
    </row>
    <row r="23" spans="1:9" x14ac:dyDescent="0.35">
      <c r="A23" s="18" t="s">
        <v>33</v>
      </c>
    </row>
  </sheetData>
  <pageMargins left="0.85" right="0.5" top="0.75" bottom="0.17" header="0.17" footer="0.17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43"/>
  <sheetViews>
    <sheetView topLeftCell="A15" zoomScaleNormal="100" zoomScaleSheetLayoutView="95" workbookViewId="0">
      <selection activeCell="K30" sqref="K30"/>
    </sheetView>
  </sheetViews>
  <sheetFormatPr defaultColWidth="8.88671875" defaultRowHeight="14.4" x14ac:dyDescent="0.35"/>
  <cols>
    <col min="1" max="1" width="2.88671875" style="166" customWidth="1"/>
    <col min="2" max="2" width="30.44140625" style="166" customWidth="1"/>
    <col min="3" max="3" width="16.77734375" style="166" customWidth="1"/>
    <col min="4" max="4" width="14.6640625" style="166" customWidth="1"/>
    <col min="5" max="5" width="9" style="166" customWidth="1"/>
    <col min="6" max="6" width="0.6640625" style="166" customWidth="1"/>
    <col min="7" max="7" width="13.109375" style="166" customWidth="1"/>
    <col min="8" max="8" width="12.33203125" style="166" bestFit="1" customWidth="1"/>
    <col min="9" max="9" width="14.109375" style="166" bestFit="1" customWidth="1"/>
    <col min="10" max="16384" width="8.88671875" style="166"/>
  </cols>
  <sheetData>
    <row r="1" spans="1:8" x14ac:dyDescent="0.35">
      <c r="A1" s="168" t="s">
        <v>142</v>
      </c>
      <c r="E1" s="168"/>
      <c r="F1" s="168"/>
      <c r="G1" s="204" t="s">
        <v>64</v>
      </c>
      <c r="H1" s="168"/>
    </row>
    <row r="2" spans="1:8" s="163" customFormat="1" x14ac:dyDescent="0.35">
      <c r="A2" s="168" t="s">
        <v>52</v>
      </c>
      <c r="E2" s="168"/>
      <c r="F2" s="168"/>
      <c r="G2" s="178"/>
      <c r="H2" s="168"/>
    </row>
    <row r="3" spans="1:8" x14ac:dyDescent="0.35">
      <c r="A3" s="163" t="str">
        <f>+PL!A3</f>
        <v>FOR THE YEAR PERIOD 31ST MARCH</v>
      </c>
      <c r="B3" s="168"/>
      <c r="C3" s="168"/>
      <c r="D3" s="168"/>
      <c r="E3" s="168"/>
      <c r="F3" s="168"/>
      <c r="G3" s="173">
        <v>2025</v>
      </c>
      <c r="H3" s="168"/>
    </row>
    <row r="4" spans="1:8" x14ac:dyDescent="0.35">
      <c r="G4" s="181" t="s">
        <v>11</v>
      </c>
    </row>
    <row r="5" spans="1:8" x14ac:dyDescent="0.35">
      <c r="F5" s="172"/>
    </row>
    <row r="6" spans="1:8" x14ac:dyDescent="0.35">
      <c r="A6" s="163" t="s">
        <v>53</v>
      </c>
      <c r="F6" s="172"/>
      <c r="G6" s="175"/>
    </row>
    <row r="7" spans="1:8" x14ac:dyDescent="0.35">
      <c r="A7" s="167" t="s">
        <v>54</v>
      </c>
      <c r="F7" s="188"/>
      <c r="G7" s="192">
        <f>+PL!D12</f>
        <v>2124756</v>
      </c>
    </row>
    <row r="8" spans="1:8" x14ac:dyDescent="0.35">
      <c r="A8" s="166" t="s">
        <v>25</v>
      </c>
      <c r="F8" s="174"/>
      <c r="G8" s="193"/>
    </row>
    <row r="9" spans="1:8" x14ac:dyDescent="0.35">
      <c r="B9" s="170" t="s">
        <v>127</v>
      </c>
      <c r="C9" s="170"/>
      <c r="D9" s="170"/>
      <c r="F9" s="174"/>
      <c r="G9" s="193" t="e">
        <f>'P09'!#REF!</f>
        <v>#REF!</v>
      </c>
    </row>
    <row r="10" spans="1:8" x14ac:dyDescent="0.35">
      <c r="A10" s="163" t="s">
        <v>55</v>
      </c>
      <c r="F10" s="174"/>
      <c r="G10" s="194" t="e">
        <f>SUM(G7:G9)</f>
        <v>#REF!</v>
      </c>
    </row>
    <row r="11" spans="1:8" x14ac:dyDescent="0.35">
      <c r="F11" s="174"/>
      <c r="G11" s="193"/>
    </row>
    <row r="12" spans="1:8" x14ac:dyDescent="0.35">
      <c r="B12" s="170" t="s">
        <v>160</v>
      </c>
      <c r="C12" s="170"/>
      <c r="D12" s="170"/>
      <c r="F12" s="174"/>
      <c r="G12" s="193">
        <f>-BS!E12</f>
        <v>-112919.5</v>
      </c>
    </row>
    <row r="13" spans="1:8" x14ac:dyDescent="0.35">
      <c r="B13" s="170" t="s">
        <v>170</v>
      </c>
      <c r="C13" s="170"/>
      <c r="D13" s="170"/>
      <c r="F13" s="174"/>
      <c r="G13" s="193">
        <f>BS!E26</f>
        <v>55750</v>
      </c>
    </row>
    <row r="14" spans="1:8" x14ac:dyDescent="0.35">
      <c r="B14" s="170" t="s">
        <v>101</v>
      </c>
      <c r="C14" s="170"/>
      <c r="D14" s="170"/>
      <c r="F14" s="174"/>
      <c r="G14" s="193">
        <f>BS!E27</f>
        <v>1000000</v>
      </c>
    </row>
    <row r="15" spans="1:8" x14ac:dyDescent="0.35">
      <c r="A15" s="163" t="s">
        <v>56</v>
      </c>
      <c r="F15" s="174"/>
      <c r="G15" s="194" t="e">
        <f>SUM(G10:G14)</f>
        <v>#REF!</v>
      </c>
    </row>
    <row r="16" spans="1:8" x14ac:dyDescent="0.35">
      <c r="F16" s="174"/>
      <c r="G16" s="193"/>
    </row>
    <row r="17" spans="1:7" x14ac:dyDescent="0.35">
      <c r="B17" s="166" t="s">
        <v>24</v>
      </c>
      <c r="F17" s="174"/>
      <c r="G17" s="193">
        <f>TB!B23</f>
        <v>1000</v>
      </c>
    </row>
    <row r="18" spans="1:7" x14ac:dyDescent="0.35">
      <c r="F18" s="174"/>
      <c r="G18" s="195">
        <f>SUM(G17:G17)</f>
        <v>1000</v>
      </c>
    </row>
    <row r="19" spans="1:7" x14ac:dyDescent="0.35">
      <c r="A19" s="163" t="s">
        <v>57</v>
      </c>
      <c r="E19" s="163"/>
      <c r="F19" s="174"/>
      <c r="G19" s="195" t="e">
        <f>SUM(G18+G15)</f>
        <v>#REF!</v>
      </c>
    </row>
    <row r="20" spans="1:7" x14ac:dyDescent="0.35">
      <c r="F20" s="174"/>
      <c r="G20" s="193"/>
    </row>
    <row r="21" spans="1:7" x14ac:dyDescent="0.35">
      <c r="A21" s="163" t="s">
        <v>58</v>
      </c>
      <c r="F21" s="174"/>
      <c r="G21" s="193"/>
    </row>
    <row r="22" spans="1:7" x14ac:dyDescent="0.35">
      <c r="B22" s="167" t="s">
        <v>137</v>
      </c>
      <c r="F22" s="174"/>
      <c r="G22" s="193">
        <f>-'P10'!G7</f>
        <v>-153700</v>
      </c>
    </row>
    <row r="23" spans="1:7" x14ac:dyDescent="0.35">
      <c r="A23" s="163" t="s">
        <v>59</v>
      </c>
      <c r="E23" s="163"/>
      <c r="F23" s="174"/>
      <c r="G23" s="195">
        <f>SUM(G22)</f>
        <v>-153700</v>
      </c>
    </row>
    <row r="24" spans="1:7" x14ac:dyDescent="0.35">
      <c r="F24" s="174"/>
      <c r="G24" s="193"/>
    </row>
    <row r="25" spans="1:7" x14ac:dyDescent="0.35">
      <c r="A25" s="163" t="s">
        <v>60</v>
      </c>
      <c r="F25" s="174"/>
      <c r="G25" s="193"/>
    </row>
    <row r="26" spans="1:7" x14ac:dyDescent="0.35">
      <c r="B26" s="166" t="s">
        <v>70</v>
      </c>
      <c r="F26" s="174"/>
      <c r="G26" s="193">
        <f>+BS!E19</f>
        <v>6000</v>
      </c>
    </row>
    <row r="27" spans="1:7" x14ac:dyDescent="0.35">
      <c r="A27" s="163" t="s">
        <v>61</v>
      </c>
      <c r="F27" s="174"/>
      <c r="G27" s="195">
        <f>SUM(G26)</f>
        <v>6000</v>
      </c>
    </row>
    <row r="28" spans="1:7" x14ac:dyDescent="0.35">
      <c r="A28" s="163" t="s">
        <v>65</v>
      </c>
      <c r="F28" s="174"/>
      <c r="G28" s="193" t="e">
        <f>+G19+G23+G27</f>
        <v>#REF!</v>
      </c>
    </row>
    <row r="29" spans="1:7" x14ac:dyDescent="0.35">
      <c r="B29" s="166" t="s">
        <v>62</v>
      </c>
      <c r="F29" s="174"/>
      <c r="G29" s="235">
        <v>0</v>
      </c>
    </row>
    <row r="30" spans="1:7" ht="15" thickBot="1" x14ac:dyDescent="0.4">
      <c r="B30" s="166" t="s">
        <v>63</v>
      </c>
      <c r="F30" s="174"/>
      <c r="G30" s="196" t="e">
        <f>SUM(G28:G29)</f>
        <v>#REF!</v>
      </c>
    </row>
    <row r="31" spans="1:7" ht="15" thickTop="1" x14ac:dyDescent="0.35">
      <c r="F31" s="174"/>
      <c r="G31" s="193"/>
    </row>
    <row r="32" spans="1:7" s="167" customFormat="1" x14ac:dyDescent="0.35">
      <c r="A32" s="164" t="s">
        <v>139</v>
      </c>
      <c r="C32" s="161"/>
      <c r="F32" s="184"/>
    </row>
    <row r="33" spans="1:9" s="167" customFormat="1" x14ac:dyDescent="0.35">
      <c r="B33" s="177" t="s">
        <v>138</v>
      </c>
      <c r="G33" s="238">
        <v>0</v>
      </c>
    </row>
    <row r="34" spans="1:9" s="167" customFormat="1" ht="15" thickBot="1" x14ac:dyDescent="0.4">
      <c r="G34" s="205">
        <f>SUM(F33:F33)</f>
        <v>0</v>
      </c>
    </row>
    <row r="35" spans="1:9" s="167" customFormat="1" ht="15" thickTop="1" x14ac:dyDescent="0.35"/>
    <row r="36" spans="1:9" s="167" customFormat="1" x14ac:dyDescent="0.35">
      <c r="A36" s="164" t="s">
        <v>140</v>
      </c>
      <c r="G36" s="184"/>
    </row>
    <row r="37" spans="1:9" s="167" customFormat="1" x14ac:dyDescent="0.35">
      <c r="B37" s="177" t="s">
        <v>138</v>
      </c>
      <c r="D37" s="176"/>
      <c r="E37" s="176"/>
      <c r="G37" s="183">
        <f>'P11'!J7</f>
        <v>12560</v>
      </c>
    </row>
    <row r="38" spans="1:9" s="167" customFormat="1" ht="15" thickBot="1" x14ac:dyDescent="0.4">
      <c r="A38" s="164"/>
      <c r="G38" s="205">
        <f>SUM(G37:G37)</f>
        <v>12560</v>
      </c>
      <c r="H38" s="179" t="e">
        <f>G30-G38</f>
        <v>#REF!</v>
      </c>
      <c r="I38" s="179"/>
    </row>
    <row r="39" spans="1:9" ht="15" thickTop="1" x14ac:dyDescent="0.35"/>
    <row r="41" spans="1:9" x14ac:dyDescent="0.35">
      <c r="A41" s="166" t="s">
        <v>32</v>
      </c>
    </row>
    <row r="43" spans="1:9" x14ac:dyDescent="0.35">
      <c r="A43" s="167" t="s">
        <v>33</v>
      </c>
    </row>
  </sheetData>
  <pageMargins left="0.85" right="0.5" top="0.75" bottom="0.17" header="0.17" footer="0.17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24"/>
  <sheetViews>
    <sheetView zoomScaleNormal="100" zoomScaleSheetLayoutView="100" workbookViewId="0">
      <selection activeCell="D6" sqref="D6"/>
    </sheetView>
  </sheetViews>
  <sheetFormatPr defaultColWidth="8.5546875" defaultRowHeight="14.4" x14ac:dyDescent="0.35"/>
  <cols>
    <col min="1" max="1" width="58.21875" style="2" customWidth="1"/>
    <col min="2" max="2" width="7.5546875" style="2" customWidth="1"/>
    <col min="3" max="3" width="7.77734375" style="3" customWidth="1"/>
    <col min="4" max="4" width="14.109375" style="8" customWidth="1"/>
    <col min="5" max="6" width="8.5546875" style="2" customWidth="1"/>
    <col min="7" max="7" width="17.33203125" style="2" customWidth="1"/>
    <col min="8" max="16384" width="8.5546875" style="2"/>
  </cols>
  <sheetData>
    <row r="1" spans="1:7" x14ac:dyDescent="0.35">
      <c r="A1" s="1" t="s">
        <v>142</v>
      </c>
      <c r="B1" s="1"/>
      <c r="C1" s="1"/>
      <c r="D1" s="152" t="s">
        <v>28</v>
      </c>
    </row>
    <row r="2" spans="1:7" x14ac:dyDescent="0.35">
      <c r="A2" s="11" t="s">
        <v>30</v>
      </c>
      <c r="B2" s="1"/>
      <c r="C2" s="1"/>
      <c r="D2" s="1"/>
    </row>
    <row r="3" spans="1:7" x14ac:dyDescent="0.35">
      <c r="A3" s="11" t="s">
        <v>100</v>
      </c>
      <c r="B3" s="1"/>
      <c r="C3" s="1"/>
      <c r="D3" s="9">
        <v>2025</v>
      </c>
    </row>
    <row r="4" spans="1:7" x14ac:dyDescent="0.35">
      <c r="B4" s="3" t="s">
        <v>29</v>
      </c>
      <c r="D4" s="10" t="s">
        <v>22</v>
      </c>
    </row>
    <row r="5" spans="1:7" x14ac:dyDescent="0.35">
      <c r="C5" s="2"/>
      <c r="D5" s="2"/>
      <c r="G5" s="4"/>
    </row>
    <row r="6" spans="1:7" x14ac:dyDescent="0.35">
      <c r="A6" s="2" t="s">
        <v>68</v>
      </c>
      <c r="B6" s="3">
        <v>4</v>
      </c>
      <c r="C6" s="2"/>
      <c r="D6" s="118">
        <f>+'P09'!D8</f>
        <v>2328236</v>
      </c>
      <c r="G6" s="4"/>
    </row>
    <row r="7" spans="1:7" x14ac:dyDescent="0.35">
      <c r="B7" s="3"/>
      <c r="C7" s="2"/>
      <c r="D7" s="118"/>
    </row>
    <row r="8" spans="1:7" x14ac:dyDescent="0.35">
      <c r="A8" s="2" t="s">
        <v>12</v>
      </c>
      <c r="B8" s="3">
        <v>5</v>
      </c>
      <c r="C8" s="2"/>
      <c r="D8" s="121">
        <f>-'P09'!D13</f>
        <v>-40000</v>
      </c>
      <c r="G8" s="5"/>
    </row>
    <row r="9" spans="1:7" x14ac:dyDescent="0.35">
      <c r="A9" s="1"/>
      <c r="B9" s="3"/>
      <c r="C9" s="2"/>
      <c r="D9" s="122"/>
    </row>
    <row r="10" spans="1:7" x14ac:dyDescent="0.35">
      <c r="A10" s="2" t="s">
        <v>34</v>
      </c>
      <c r="B10" s="3">
        <v>6</v>
      </c>
      <c r="C10" s="2"/>
      <c r="D10" s="123">
        <f>-'P09'!D17</f>
        <v>-163480</v>
      </c>
    </row>
    <row r="11" spans="1:7" x14ac:dyDescent="0.35">
      <c r="D11" s="118"/>
    </row>
    <row r="12" spans="1:7" x14ac:dyDescent="0.35">
      <c r="A12" s="12" t="s">
        <v>31</v>
      </c>
      <c r="B12" s="1"/>
      <c r="D12" s="119">
        <f>SUM(D6:D10)</f>
        <v>2124756</v>
      </c>
    </row>
    <row r="13" spans="1:7" x14ac:dyDescent="0.35">
      <c r="D13" s="119"/>
    </row>
    <row r="14" spans="1:7" x14ac:dyDescent="0.35">
      <c r="A14" s="13" t="s">
        <v>35</v>
      </c>
      <c r="B14" s="3">
        <v>7</v>
      </c>
      <c r="D14" s="123">
        <f>-'P09'!D21</f>
        <v>-1000</v>
      </c>
    </row>
    <row r="15" spans="1:7" x14ac:dyDescent="0.35">
      <c r="D15" s="119"/>
    </row>
    <row r="16" spans="1:7" ht="15" thickBot="1" x14ac:dyDescent="0.4">
      <c r="A16" s="12" t="s">
        <v>171</v>
      </c>
      <c r="D16" s="124">
        <f>SUM(D12:D14)</f>
        <v>2123756</v>
      </c>
    </row>
    <row r="17" spans="1:4" ht="15" thickTop="1" x14ac:dyDescent="0.35">
      <c r="D17" s="118"/>
    </row>
    <row r="18" spans="1:4" x14ac:dyDescent="0.35">
      <c r="A18" s="1"/>
      <c r="B18" s="1"/>
      <c r="D18" s="125"/>
    </row>
    <row r="19" spans="1:4" x14ac:dyDescent="0.35">
      <c r="D19" s="7"/>
    </row>
    <row r="22" spans="1:4" x14ac:dyDescent="0.35">
      <c r="A22" s="2" t="s">
        <v>32</v>
      </c>
    </row>
    <row r="24" spans="1:4" x14ac:dyDescent="0.35">
      <c r="A24" s="2" t="s">
        <v>33</v>
      </c>
    </row>
  </sheetData>
  <pageMargins left="0.85" right="0.5" top="0.75" bottom="0.17" header="0.17" footer="0.17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LX51"/>
  <sheetViews>
    <sheetView tabSelected="1" topLeftCell="A9" zoomScaleNormal="100" zoomScaleSheetLayoutView="100" workbookViewId="0">
      <selection activeCell="B25" sqref="B25"/>
    </sheetView>
  </sheetViews>
  <sheetFormatPr defaultColWidth="9.109375" defaultRowHeight="14.4" x14ac:dyDescent="0.35"/>
  <cols>
    <col min="1" max="1" width="47.6640625" style="2" customWidth="1"/>
    <col min="2" max="2" width="10.33203125" style="2" customWidth="1"/>
    <col min="3" max="3" width="7.5546875" style="15" customWidth="1"/>
    <col min="4" max="4" width="7.77734375" style="15" customWidth="1"/>
    <col min="5" max="5" width="14.33203125" style="14" customWidth="1"/>
    <col min="6" max="6" width="11.5546875" style="2" bestFit="1" customWidth="1"/>
    <col min="7" max="7" width="9.6640625" style="2" bestFit="1" customWidth="1"/>
    <col min="8" max="8" width="9.109375" style="2"/>
    <col min="9" max="9" width="10.5546875" style="2" bestFit="1" customWidth="1"/>
    <col min="10" max="10" width="14.44140625" style="2" bestFit="1" customWidth="1"/>
    <col min="11" max="1003" width="9.109375" style="2"/>
    <col min="1004" max="16384" width="9.109375" style="13"/>
  </cols>
  <sheetData>
    <row r="1" spans="1:1003" x14ac:dyDescent="0.35">
      <c r="A1" s="1" t="s">
        <v>142</v>
      </c>
      <c r="B1" s="1"/>
      <c r="C1" s="1"/>
      <c r="D1" s="1"/>
      <c r="E1" s="152" t="s">
        <v>36</v>
      </c>
    </row>
    <row r="2" spans="1:1003" x14ac:dyDescent="0.35">
      <c r="A2" s="1" t="s">
        <v>0</v>
      </c>
      <c r="B2" s="1"/>
      <c r="C2" s="1"/>
      <c r="D2" s="1"/>
      <c r="E2" s="1"/>
    </row>
    <row r="3" spans="1:1003" x14ac:dyDescent="0.35">
      <c r="A3" s="1" t="s">
        <v>126</v>
      </c>
      <c r="B3" s="1"/>
      <c r="C3" s="1"/>
      <c r="D3" s="1"/>
      <c r="E3" s="9">
        <v>2025</v>
      </c>
    </row>
    <row r="4" spans="1:1003" x14ac:dyDescent="0.35">
      <c r="A4" s="1"/>
      <c r="B4" s="1"/>
      <c r="C4" s="3" t="s">
        <v>29</v>
      </c>
      <c r="D4" s="3"/>
      <c r="E4" s="16" t="s">
        <v>11</v>
      </c>
    </row>
    <row r="5" spans="1:1003" x14ac:dyDescent="0.35">
      <c r="A5" s="1"/>
      <c r="B5" s="1"/>
      <c r="D5" s="3"/>
    </row>
    <row r="6" spans="1:1003" x14ac:dyDescent="0.35">
      <c r="A6" s="1" t="s">
        <v>1</v>
      </c>
      <c r="B6" s="144"/>
    </row>
    <row r="7" spans="1:1003" x14ac:dyDescent="0.35">
      <c r="A7" s="1" t="s">
        <v>23</v>
      </c>
      <c r="B7" s="1"/>
      <c r="E7" s="73"/>
      <c r="F7" s="143"/>
    </row>
    <row r="8" spans="1:1003" x14ac:dyDescent="0.35">
      <c r="A8" s="18" t="s">
        <v>137</v>
      </c>
      <c r="C8" s="3">
        <v>8</v>
      </c>
      <c r="D8" s="3"/>
      <c r="E8" s="121">
        <f>+'P10'!J16</f>
        <v>124812.82191780822</v>
      </c>
      <c r="F8" s="143"/>
    </row>
    <row r="9" spans="1:1003" x14ac:dyDescent="0.35">
      <c r="E9" s="126">
        <f>SUM(E8)</f>
        <v>124812.82191780822</v>
      </c>
      <c r="F9" s="143"/>
    </row>
    <row r="10" spans="1:1003" x14ac:dyDescent="0.35">
      <c r="E10" s="121"/>
      <c r="F10" s="143"/>
    </row>
    <row r="11" spans="1:1003" x14ac:dyDescent="0.35">
      <c r="A11" s="1" t="s">
        <v>2</v>
      </c>
      <c r="B11" s="1"/>
      <c r="E11" s="73"/>
      <c r="F11" s="101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  <c r="QV11" s="13"/>
      <c r="QW11" s="13"/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  <c r="VC11" s="13"/>
      <c r="VD11" s="13"/>
      <c r="VE11" s="13"/>
      <c r="VF11" s="13"/>
      <c r="VG11" s="13"/>
      <c r="VH11" s="13"/>
      <c r="VI11" s="13"/>
      <c r="VJ11" s="13"/>
      <c r="VK11" s="13"/>
      <c r="VL11" s="13"/>
      <c r="VM11" s="13"/>
      <c r="VN11" s="13"/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  <c r="AAM11" s="13"/>
      <c r="AAN11" s="13"/>
      <c r="AAO11" s="13"/>
      <c r="AAP11" s="13"/>
      <c r="AAQ11" s="13"/>
      <c r="AAR11" s="13"/>
      <c r="AAS11" s="13"/>
      <c r="AAT11" s="13"/>
      <c r="AAU11" s="13"/>
      <c r="AAV11" s="13"/>
      <c r="AAW11" s="13"/>
      <c r="AAX11" s="13"/>
      <c r="AAY11" s="13"/>
      <c r="AAZ11" s="13"/>
      <c r="ABA11" s="13"/>
      <c r="ABB11" s="13"/>
      <c r="ABC11" s="13"/>
      <c r="ABD11" s="13"/>
      <c r="ABE11" s="13"/>
      <c r="ABF11" s="13"/>
      <c r="ABG11" s="13"/>
      <c r="ABH11" s="13"/>
      <c r="ABI11" s="13"/>
      <c r="ABJ11" s="13"/>
      <c r="ABK11" s="13"/>
      <c r="ABL11" s="13"/>
      <c r="ABM11" s="13"/>
      <c r="ABN11" s="13"/>
      <c r="ABO11" s="13"/>
      <c r="ABP11" s="13"/>
      <c r="ABQ11" s="13"/>
      <c r="ABR11" s="13"/>
      <c r="ABS11" s="13"/>
      <c r="ABT11" s="13"/>
      <c r="ABU11" s="13"/>
      <c r="ABV11" s="13"/>
      <c r="ABW11" s="13"/>
      <c r="ABX11" s="13"/>
      <c r="ABY11" s="13"/>
      <c r="ABZ11" s="13"/>
      <c r="ACA11" s="13"/>
      <c r="ACB11" s="13"/>
      <c r="ACC11" s="13"/>
      <c r="ACD11" s="13"/>
      <c r="ACE11" s="13"/>
      <c r="ACF11" s="13"/>
      <c r="ACG11" s="13"/>
      <c r="ACH11" s="13"/>
      <c r="ACI11" s="13"/>
      <c r="ACJ11" s="13"/>
      <c r="ACK11" s="13"/>
      <c r="ACL11" s="13"/>
      <c r="ACM11" s="13"/>
      <c r="ACN11" s="13"/>
      <c r="ACO11" s="13"/>
      <c r="ACP11" s="13"/>
      <c r="ACQ11" s="13"/>
      <c r="ACR11" s="13"/>
      <c r="ACS11" s="13"/>
      <c r="ACT11" s="13"/>
      <c r="ACU11" s="13"/>
      <c r="ACV11" s="13"/>
      <c r="ACW11" s="13"/>
      <c r="ACX11" s="13"/>
      <c r="ACY11" s="13"/>
      <c r="ACZ11" s="13"/>
      <c r="ADA11" s="13"/>
      <c r="ADB11" s="13"/>
      <c r="ADC11" s="13"/>
      <c r="ADD11" s="13"/>
      <c r="ADE11" s="13"/>
      <c r="ADF11" s="13"/>
      <c r="ADG11" s="13"/>
      <c r="ADH11" s="13"/>
      <c r="ADI11" s="13"/>
      <c r="ADJ11" s="13"/>
      <c r="ADK11" s="13"/>
      <c r="ADL11" s="13"/>
      <c r="ADM11" s="13"/>
      <c r="ADN11" s="13"/>
      <c r="ADO11" s="13"/>
      <c r="ADP11" s="13"/>
      <c r="ADQ11" s="13"/>
      <c r="ADR11" s="13"/>
      <c r="ADS11" s="13"/>
      <c r="ADT11" s="13"/>
      <c r="ADU11" s="13"/>
      <c r="ADV11" s="13"/>
      <c r="ADW11" s="13"/>
      <c r="ADX11" s="13"/>
      <c r="ADY11" s="13"/>
      <c r="ADZ11" s="13"/>
      <c r="AEA11" s="13"/>
      <c r="AEB11" s="13"/>
      <c r="AEC11" s="13"/>
      <c r="AED11" s="13"/>
      <c r="AEE11" s="13"/>
      <c r="AEF11" s="13"/>
      <c r="AEG11" s="13"/>
      <c r="AEH11" s="13"/>
      <c r="AEI11" s="13"/>
      <c r="AEJ11" s="13"/>
      <c r="AEK11" s="13"/>
      <c r="AEL11" s="13"/>
      <c r="AEM11" s="13"/>
      <c r="AEN11" s="13"/>
      <c r="AEO11" s="13"/>
      <c r="AEP11" s="13"/>
      <c r="AEQ11" s="13"/>
      <c r="AER11" s="13"/>
      <c r="AES11" s="13"/>
      <c r="AET11" s="13"/>
      <c r="AEU11" s="13"/>
      <c r="AEV11" s="13"/>
      <c r="AEW11" s="13"/>
      <c r="AEX11" s="13"/>
      <c r="AEY11" s="13"/>
      <c r="AEZ11" s="13"/>
      <c r="AFA11" s="13"/>
      <c r="AFB11" s="13"/>
      <c r="AFC11" s="13"/>
      <c r="AFD11" s="13"/>
      <c r="AFE11" s="13"/>
      <c r="AFF11" s="13"/>
      <c r="AFG11" s="13"/>
      <c r="AFH11" s="13"/>
      <c r="AFI11" s="13"/>
      <c r="AFJ11" s="13"/>
      <c r="AFK11" s="13"/>
      <c r="AFL11" s="13"/>
      <c r="AFM11" s="13"/>
      <c r="AFN11" s="13"/>
      <c r="AFO11" s="13"/>
      <c r="AFP11" s="13"/>
      <c r="AFQ11" s="13"/>
      <c r="AFR11" s="13"/>
      <c r="AFS11" s="13"/>
      <c r="AFT11" s="13"/>
      <c r="AFU11" s="13"/>
      <c r="AFV11" s="13"/>
      <c r="AFW11" s="13"/>
      <c r="AFX11" s="13"/>
      <c r="AFY11" s="13"/>
      <c r="AFZ11" s="13"/>
      <c r="AGA11" s="13"/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  <c r="AKZ11" s="13"/>
      <c r="ALA11" s="13"/>
      <c r="ALB11" s="13"/>
      <c r="ALC11" s="13"/>
      <c r="ALD11" s="13"/>
      <c r="ALE11" s="13"/>
      <c r="ALF11" s="13"/>
      <c r="ALG11" s="13"/>
      <c r="ALH11" s="13"/>
      <c r="ALI11" s="13"/>
      <c r="ALJ11" s="13"/>
      <c r="ALK11" s="13"/>
      <c r="ALL11" s="13"/>
      <c r="ALM11" s="13"/>
      <c r="ALN11" s="13"/>
      <c r="ALO11" s="13"/>
    </row>
    <row r="12" spans="1:1003" x14ac:dyDescent="0.35">
      <c r="A12" s="178" t="s">
        <v>158</v>
      </c>
      <c r="B12" s="178"/>
      <c r="C12" s="240"/>
      <c r="D12" s="240"/>
      <c r="E12" s="73">
        <f>TB!B17</f>
        <v>112919.5</v>
      </c>
      <c r="F12" s="10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  <c r="QV12" s="13"/>
      <c r="QW12" s="13"/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  <c r="VC12" s="13"/>
      <c r="VD12" s="13"/>
      <c r="VE12" s="13"/>
      <c r="VF12" s="13"/>
      <c r="VG12" s="13"/>
      <c r="VH12" s="13"/>
      <c r="VI12" s="13"/>
      <c r="VJ12" s="13"/>
      <c r="VK12" s="13"/>
      <c r="VL12" s="13"/>
      <c r="VM12" s="13"/>
      <c r="VN12" s="13"/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  <c r="ADW12" s="13"/>
      <c r="ADX12" s="13"/>
      <c r="ADY12" s="13"/>
      <c r="ADZ12" s="13"/>
      <c r="AEA12" s="13"/>
      <c r="AEB12" s="13"/>
      <c r="AEC12" s="13"/>
      <c r="AED12" s="13"/>
      <c r="AEE12" s="13"/>
      <c r="AEF12" s="13"/>
      <c r="AEG12" s="13"/>
      <c r="AEH12" s="13"/>
      <c r="AEI12" s="13"/>
      <c r="AEJ12" s="13"/>
      <c r="AEK12" s="13"/>
      <c r="AEL12" s="13"/>
      <c r="AEM12" s="13"/>
      <c r="AEN12" s="13"/>
      <c r="AEO12" s="13"/>
      <c r="AEP12" s="13"/>
      <c r="AEQ12" s="13"/>
      <c r="AER12" s="13"/>
      <c r="AES12" s="13"/>
      <c r="AET12" s="13"/>
      <c r="AEU12" s="13"/>
      <c r="AEV12" s="13"/>
      <c r="AEW12" s="13"/>
      <c r="AEX12" s="13"/>
      <c r="AEY12" s="13"/>
      <c r="AEZ12" s="13"/>
      <c r="AFA12" s="13"/>
      <c r="AFB12" s="13"/>
      <c r="AFC12" s="13"/>
      <c r="AFD12" s="13"/>
      <c r="AFE12" s="13"/>
      <c r="AFF12" s="13"/>
      <c r="AFG12" s="13"/>
      <c r="AFH12" s="13"/>
      <c r="AFI12" s="13"/>
      <c r="AFJ12" s="13"/>
      <c r="AFK12" s="13"/>
      <c r="AFL12" s="13"/>
      <c r="AFM12" s="13"/>
      <c r="AFN12" s="13"/>
      <c r="AFO12" s="13"/>
      <c r="AFP12" s="13"/>
      <c r="AFQ12" s="13"/>
      <c r="AFR12" s="13"/>
      <c r="AFS12" s="13"/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  <c r="AKZ12" s="13"/>
      <c r="ALA12" s="13"/>
      <c r="ALB12" s="13"/>
      <c r="ALC12" s="13"/>
      <c r="ALD12" s="13"/>
      <c r="ALE12" s="13"/>
      <c r="ALF12" s="13"/>
      <c r="ALG12" s="13"/>
      <c r="ALH12" s="13"/>
      <c r="ALI12" s="13"/>
      <c r="ALJ12" s="13"/>
      <c r="ALK12" s="13"/>
      <c r="ALL12" s="13"/>
      <c r="ALM12" s="13"/>
      <c r="ALN12" s="13"/>
      <c r="ALO12" s="13"/>
    </row>
    <row r="13" spans="1:1003" x14ac:dyDescent="0.35">
      <c r="A13" s="2" t="s">
        <v>3</v>
      </c>
      <c r="C13" s="3">
        <v>9</v>
      </c>
      <c r="D13" s="3"/>
      <c r="E13" s="73">
        <f>+'P11'!J8</f>
        <v>12560</v>
      </c>
      <c r="F13" s="101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  <c r="QV13" s="13"/>
      <c r="QW13" s="13"/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  <c r="VC13" s="13"/>
      <c r="VD13" s="13"/>
      <c r="VE13" s="13"/>
      <c r="VF13" s="13"/>
      <c r="VG13" s="13"/>
      <c r="VH13" s="13"/>
      <c r="VI13" s="13"/>
      <c r="VJ13" s="13"/>
      <c r="VK13" s="13"/>
      <c r="VL13" s="13"/>
      <c r="VM13" s="13"/>
      <c r="VN13" s="13"/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  <c r="ADW13" s="13"/>
      <c r="ADX13" s="13"/>
      <c r="ADY13" s="13"/>
      <c r="ADZ13" s="13"/>
      <c r="AEA13" s="13"/>
      <c r="AEB13" s="13"/>
      <c r="AEC13" s="13"/>
      <c r="AED13" s="13"/>
      <c r="AEE13" s="13"/>
      <c r="AEF13" s="13"/>
      <c r="AEG13" s="13"/>
      <c r="AEH13" s="13"/>
      <c r="AEI13" s="13"/>
      <c r="AEJ13" s="13"/>
      <c r="AEK13" s="13"/>
      <c r="AEL13" s="13"/>
      <c r="AEM13" s="13"/>
      <c r="AEN13" s="13"/>
      <c r="AEO13" s="13"/>
      <c r="AEP13" s="13"/>
      <c r="AEQ13" s="13"/>
      <c r="AER13" s="13"/>
      <c r="AES13" s="13"/>
      <c r="AET13" s="13"/>
      <c r="AEU13" s="13"/>
      <c r="AEV13" s="13"/>
      <c r="AEW13" s="13"/>
      <c r="AEX13" s="13"/>
      <c r="AEY13" s="13"/>
      <c r="AEZ13" s="13"/>
      <c r="AFA13" s="13"/>
      <c r="AFB13" s="13"/>
      <c r="AFC13" s="13"/>
      <c r="AFD13" s="13"/>
      <c r="AFE13" s="13"/>
      <c r="AFF13" s="13"/>
      <c r="AFG13" s="13"/>
      <c r="AFH13" s="13"/>
      <c r="AFI13" s="13"/>
      <c r="AFJ13" s="13"/>
      <c r="AFK13" s="13"/>
      <c r="AFL13" s="13"/>
      <c r="AFM13" s="13"/>
      <c r="AFN13" s="13"/>
      <c r="AFO13" s="13"/>
      <c r="AFP13" s="13"/>
      <c r="AFQ13" s="13"/>
      <c r="AFR13" s="13"/>
      <c r="AFS13" s="13"/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  <c r="AKZ13" s="13"/>
      <c r="ALA13" s="13"/>
      <c r="ALB13" s="13"/>
      <c r="ALC13" s="13"/>
      <c r="ALD13" s="13"/>
      <c r="ALE13" s="13"/>
      <c r="ALF13" s="13"/>
      <c r="ALG13" s="13"/>
      <c r="ALH13" s="13"/>
      <c r="ALI13" s="13"/>
      <c r="ALJ13" s="13"/>
      <c r="ALK13" s="13"/>
      <c r="ALL13" s="13"/>
      <c r="ALM13" s="13"/>
      <c r="ALN13" s="13"/>
      <c r="ALO13" s="13"/>
    </row>
    <row r="14" spans="1:1003" x14ac:dyDescent="0.35">
      <c r="A14" s="1" t="s">
        <v>39</v>
      </c>
      <c r="C14" s="3"/>
      <c r="D14" s="3"/>
      <c r="E14" s="126">
        <f>SUM(E12:E13)</f>
        <v>125479.5</v>
      </c>
      <c r="F14" s="10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  <c r="VC14" s="13"/>
      <c r="VD14" s="13"/>
      <c r="VE14" s="13"/>
      <c r="VF14" s="13"/>
      <c r="VG14" s="13"/>
      <c r="VH14" s="13"/>
      <c r="VI14" s="13"/>
      <c r="VJ14" s="13"/>
      <c r="VK14" s="13"/>
      <c r="VL14" s="13"/>
      <c r="VM14" s="13"/>
      <c r="VN14" s="13"/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13"/>
      <c r="AEW14" s="13"/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</row>
    <row r="15" spans="1:1003" ht="15" thickBot="1" x14ac:dyDescent="0.4">
      <c r="A15" s="1" t="s">
        <v>4</v>
      </c>
      <c r="B15" s="1"/>
      <c r="E15" s="127">
        <f>SUM(E14+E9)</f>
        <v>250292.32191780821</v>
      </c>
      <c r="F15" s="101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  <c r="QQ15" s="13"/>
      <c r="QR15" s="13"/>
      <c r="QS15" s="13"/>
      <c r="QT15" s="13"/>
      <c r="QU15" s="13"/>
      <c r="QV15" s="13"/>
      <c r="QW15" s="13"/>
      <c r="QX15" s="13"/>
      <c r="QY15" s="13"/>
      <c r="QZ15" s="13"/>
      <c r="RA15" s="13"/>
      <c r="RB15" s="13"/>
      <c r="RC15" s="13"/>
      <c r="RD15" s="13"/>
      <c r="RE15" s="13"/>
      <c r="RF15" s="13"/>
      <c r="RG15" s="13"/>
      <c r="RH15" s="13"/>
      <c r="RI15" s="13"/>
      <c r="RJ15" s="13"/>
      <c r="RK15" s="13"/>
      <c r="RL15" s="13"/>
      <c r="RM15" s="13"/>
      <c r="RN15" s="13"/>
      <c r="RO15" s="13"/>
      <c r="RP15" s="13"/>
      <c r="RQ15" s="13"/>
      <c r="RR15" s="13"/>
      <c r="RS15" s="13"/>
      <c r="RT15" s="13"/>
      <c r="RU15" s="13"/>
      <c r="RV15" s="13"/>
      <c r="RW15" s="13"/>
      <c r="RX15" s="13"/>
      <c r="RY15" s="13"/>
      <c r="RZ15" s="13"/>
      <c r="SA15" s="13"/>
      <c r="SB15" s="13"/>
      <c r="SC15" s="13"/>
      <c r="SD15" s="13"/>
      <c r="SE15" s="13"/>
      <c r="SF15" s="13"/>
      <c r="SG15" s="13"/>
      <c r="SH15" s="13"/>
      <c r="SI15" s="13"/>
      <c r="SJ15" s="13"/>
      <c r="SK15" s="13"/>
      <c r="SL15" s="13"/>
      <c r="SM15" s="13"/>
      <c r="SN15" s="13"/>
      <c r="SO15" s="13"/>
      <c r="SP15" s="13"/>
      <c r="SQ15" s="13"/>
      <c r="SR15" s="13"/>
      <c r="SS15" s="13"/>
      <c r="ST15" s="13"/>
      <c r="SU15" s="13"/>
      <c r="SV15" s="13"/>
      <c r="SW15" s="13"/>
      <c r="SX15" s="13"/>
      <c r="SY15" s="13"/>
      <c r="SZ15" s="13"/>
      <c r="TA15" s="13"/>
      <c r="TB15" s="13"/>
      <c r="TC15" s="13"/>
      <c r="TD15" s="13"/>
      <c r="TE15" s="13"/>
      <c r="TF15" s="13"/>
      <c r="TG15" s="13"/>
      <c r="TH15" s="13"/>
      <c r="TI15" s="13"/>
      <c r="TJ15" s="13"/>
      <c r="TK15" s="13"/>
      <c r="TL15" s="13"/>
      <c r="TM15" s="13"/>
      <c r="TN15" s="13"/>
      <c r="TO15" s="13"/>
      <c r="TP15" s="13"/>
      <c r="TQ15" s="13"/>
      <c r="TR15" s="13"/>
      <c r="TS15" s="13"/>
      <c r="TT15" s="13"/>
      <c r="TU15" s="13"/>
      <c r="TV15" s="13"/>
      <c r="TW15" s="13"/>
      <c r="TX15" s="13"/>
      <c r="TY15" s="13"/>
      <c r="TZ15" s="13"/>
      <c r="UA15" s="13"/>
      <c r="UB15" s="13"/>
      <c r="UC15" s="13"/>
      <c r="UD15" s="13"/>
      <c r="UE15" s="13"/>
      <c r="UF15" s="13"/>
      <c r="UG15" s="13"/>
      <c r="UH15" s="13"/>
      <c r="UI15" s="13"/>
      <c r="UJ15" s="13"/>
      <c r="UK15" s="13"/>
      <c r="UL15" s="13"/>
      <c r="UM15" s="13"/>
      <c r="UN15" s="13"/>
      <c r="UO15" s="13"/>
      <c r="UP15" s="13"/>
      <c r="UQ15" s="13"/>
      <c r="UR15" s="13"/>
      <c r="US15" s="13"/>
      <c r="UT15" s="13"/>
      <c r="UU15" s="13"/>
      <c r="UV15" s="13"/>
      <c r="UW15" s="13"/>
      <c r="UX15" s="13"/>
      <c r="UY15" s="13"/>
      <c r="UZ15" s="13"/>
      <c r="VA15" s="13"/>
      <c r="VB15" s="13"/>
      <c r="VC15" s="13"/>
      <c r="VD15" s="13"/>
      <c r="VE15" s="13"/>
      <c r="VF15" s="13"/>
      <c r="VG15" s="13"/>
      <c r="VH15" s="13"/>
      <c r="VI15" s="13"/>
      <c r="VJ15" s="13"/>
      <c r="VK15" s="13"/>
      <c r="VL15" s="13"/>
      <c r="VM15" s="13"/>
      <c r="VN15" s="13"/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  <c r="AAM15" s="13"/>
      <c r="AAN15" s="13"/>
      <c r="AAO15" s="13"/>
      <c r="AAP15" s="13"/>
      <c r="AAQ15" s="13"/>
      <c r="AAR15" s="13"/>
      <c r="AAS15" s="13"/>
      <c r="AAT15" s="13"/>
      <c r="AAU15" s="13"/>
      <c r="AAV15" s="13"/>
      <c r="AAW15" s="13"/>
      <c r="AAX15" s="13"/>
      <c r="AAY15" s="13"/>
      <c r="AAZ15" s="13"/>
      <c r="ABA15" s="13"/>
      <c r="ABB15" s="13"/>
      <c r="ABC15" s="13"/>
      <c r="ABD15" s="13"/>
      <c r="ABE15" s="13"/>
      <c r="ABF15" s="13"/>
      <c r="ABG15" s="13"/>
      <c r="ABH15" s="13"/>
      <c r="ABI15" s="13"/>
      <c r="ABJ15" s="13"/>
      <c r="ABK15" s="13"/>
      <c r="ABL15" s="13"/>
      <c r="ABM15" s="13"/>
      <c r="ABN15" s="13"/>
      <c r="ABO15" s="13"/>
      <c r="ABP15" s="13"/>
      <c r="ABQ15" s="13"/>
      <c r="ABR15" s="13"/>
      <c r="ABS15" s="13"/>
      <c r="ABT15" s="13"/>
      <c r="ABU15" s="13"/>
      <c r="ABV15" s="13"/>
      <c r="ABW15" s="13"/>
      <c r="ABX15" s="13"/>
      <c r="ABY15" s="13"/>
      <c r="ABZ15" s="13"/>
      <c r="ACA15" s="13"/>
      <c r="ACB15" s="13"/>
      <c r="ACC15" s="13"/>
      <c r="ACD15" s="13"/>
      <c r="ACE15" s="13"/>
      <c r="ACF15" s="13"/>
      <c r="ACG15" s="13"/>
      <c r="ACH15" s="13"/>
      <c r="ACI15" s="13"/>
      <c r="ACJ15" s="13"/>
      <c r="ACK15" s="13"/>
      <c r="ACL15" s="13"/>
      <c r="ACM15" s="13"/>
      <c r="ACN15" s="13"/>
      <c r="ACO15" s="13"/>
      <c r="ACP15" s="13"/>
      <c r="ACQ15" s="13"/>
      <c r="ACR15" s="13"/>
      <c r="ACS15" s="13"/>
      <c r="ACT15" s="13"/>
      <c r="ACU15" s="13"/>
      <c r="ACV15" s="13"/>
      <c r="ACW15" s="13"/>
      <c r="ACX15" s="13"/>
      <c r="ACY15" s="13"/>
      <c r="ACZ15" s="13"/>
      <c r="ADA15" s="13"/>
      <c r="ADB15" s="13"/>
      <c r="ADC15" s="13"/>
      <c r="ADD15" s="13"/>
      <c r="ADE15" s="13"/>
      <c r="ADF15" s="13"/>
      <c r="ADG15" s="13"/>
      <c r="ADH15" s="13"/>
      <c r="ADI15" s="13"/>
      <c r="ADJ15" s="13"/>
      <c r="ADK15" s="13"/>
      <c r="ADL15" s="13"/>
      <c r="ADM15" s="13"/>
      <c r="ADN15" s="13"/>
      <c r="ADO15" s="13"/>
      <c r="ADP15" s="13"/>
      <c r="ADQ15" s="13"/>
      <c r="ADR15" s="13"/>
      <c r="ADS15" s="13"/>
      <c r="ADT15" s="13"/>
      <c r="ADU15" s="13"/>
      <c r="ADV15" s="13"/>
      <c r="ADW15" s="13"/>
      <c r="ADX15" s="13"/>
      <c r="ADY15" s="13"/>
      <c r="ADZ15" s="13"/>
      <c r="AEA15" s="13"/>
      <c r="AEB15" s="13"/>
      <c r="AEC15" s="13"/>
      <c r="AED15" s="13"/>
      <c r="AEE15" s="13"/>
      <c r="AEF15" s="13"/>
      <c r="AEG15" s="13"/>
      <c r="AEH15" s="13"/>
      <c r="AEI15" s="13"/>
      <c r="AEJ15" s="13"/>
      <c r="AEK15" s="13"/>
      <c r="AEL15" s="13"/>
      <c r="AEM15" s="13"/>
      <c r="AEN15" s="13"/>
      <c r="AEO15" s="13"/>
      <c r="AEP15" s="13"/>
      <c r="AEQ15" s="13"/>
      <c r="AER15" s="13"/>
      <c r="AES15" s="13"/>
      <c r="AET15" s="13"/>
      <c r="AEU15" s="13"/>
      <c r="AEV15" s="13"/>
      <c r="AEW15" s="13"/>
      <c r="AEX15" s="13"/>
      <c r="AEY15" s="13"/>
      <c r="AEZ15" s="13"/>
      <c r="AFA15" s="13"/>
      <c r="AFB15" s="13"/>
      <c r="AFC15" s="13"/>
      <c r="AFD15" s="13"/>
      <c r="AFE15" s="13"/>
      <c r="AFF15" s="13"/>
      <c r="AFG15" s="13"/>
      <c r="AFH15" s="13"/>
      <c r="AFI15" s="13"/>
      <c r="AFJ15" s="13"/>
      <c r="AFK15" s="13"/>
      <c r="AFL15" s="13"/>
      <c r="AFM15" s="13"/>
      <c r="AFN15" s="13"/>
      <c r="AFO15" s="13"/>
      <c r="AFP15" s="13"/>
      <c r="AFQ15" s="13"/>
      <c r="AFR15" s="13"/>
      <c r="AFS15" s="13"/>
      <c r="AFT15" s="13"/>
      <c r="AFU15" s="13"/>
      <c r="AFV15" s="13"/>
      <c r="AFW15" s="13"/>
      <c r="AFX15" s="13"/>
      <c r="AFY15" s="13"/>
      <c r="AFZ15" s="13"/>
      <c r="AGA15" s="13"/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  <c r="AKZ15" s="13"/>
      <c r="ALA15" s="13"/>
      <c r="ALB15" s="13"/>
      <c r="ALC15" s="13"/>
      <c r="ALD15" s="13"/>
      <c r="ALE15" s="13"/>
      <c r="ALF15" s="13"/>
      <c r="ALG15" s="13"/>
      <c r="ALH15" s="13"/>
      <c r="ALI15" s="13"/>
      <c r="ALJ15" s="13"/>
      <c r="ALK15" s="13"/>
      <c r="ALL15" s="13"/>
      <c r="ALM15" s="13"/>
      <c r="ALN15" s="13"/>
      <c r="ALO15" s="13"/>
    </row>
    <row r="16" spans="1:1003" ht="15" thickTop="1" x14ac:dyDescent="0.35">
      <c r="E16" s="121"/>
      <c r="F16" s="14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  <c r="QA16" s="13"/>
      <c r="QB16" s="13"/>
      <c r="QC16" s="13"/>
      <c r="QD16" s="13"/>
      <c r="QE16" s="13"/>
      <c r="QF16" s="13"/>
      <c r="QG16" s="13"/>
      <c r="QH16" s="13"/>
      <c r="QI16" s="13"/>
      <c r="QJ16" s="13"/>
      <c r="QK16" s="13"/>
      <c r="QL16" s="13"/>
      <c r="QM16" s="13"/>
      <c r="QN16" s="13"/>
      <c r="QO16" s="13"/>
      <c r="QP16" s="13"/>
      <c r="QQ16" s="13"/>
      <c r="QR16" s="13"/>
      <c r="QS16" s="13"/>
      <c r="QT16" s="13"/>
      <c r="QU16" s="13"/>
      <c r="QV16" s="13"/>
      <c r="QW16" s="13"/>
      <c r="QX16" s="13"/>
      <c r="QY16" s="13"/>
      <c r="QZ16" s="13"/>
      <c r="RA16" s="13"/>
      <c r="RB16" s="13"/>
      <c r="RC16" s="13"/>
      <c r="RD16" s="13"/>
      <c r="RE16" s="13"/>
      <c r="RF16" s="13"/>
      <c r="RG16" s="13"/>
      <c r="RH16" s="13"/>
      <c r="RI16" s="13"/>
      <c r="RJ16" s="13"/>
      <c r="RK16" s="13"/>
      <c r="RL16" s="13"/>
      <c r="RM16" s="13"/>
      <c r="RN16" s="13"/>
      <c r="RO16" s="13"/>
      <c r="RP16" s="13"/>
      <c r="RQ16" s="13"/>
      <c r="RR16" s="13"/>
      <c r="RS16" s="13"/>
      <c r="RT16" s="13"/>
      <c r="RU16" s="13"/>
      <c r="RV16" s="13"/>
      <c r="RW16" s="13"/>
      <c r="RX16" s="13"/>
      <c r="RY16" s="13"/>
      <c r="RZ16" s="13"/>
      <c r="SA16" s="13"/>
      <c r="SB16" s="13"/>
      <c r="SC16" s="13"/>
      <c r="SD16" s="13"/>
      <c r="SE16" s="13"/>
      <c r="SF16" s="13"/>
      <c r="SG16" s="13"/>
      <c r="SH16" s="13"/>
      <c r="SI16" s="13"/>
      <c r="SJ16" s="13"/>
      <c r="SK16" s="13"/>
      <c r="SL16" s="13"/>
      <c r="SM16" s="13"/>
      <c r="SN16" s="13"/>
      <c r="SO16" s="13"/>
      <c r="SP16" s="13"/>
      <c r="SQ16" s="13"/>
      <c r="SR16" s="13"/>
      <c r="SS16" s="13"/>
      <c r="ST16" s="13"/>
      <c r="SU16" s="13"/>
      <c r="SV16" s="13"/>
      <c r="SW16" s="13"/>
      <c r="SX16" s="13"/>
      <c r="SY16" s="13"/>
      <c r="SZ16" s="13"/>
      <c r="TA16" s="13"/>
      <c r="TB16" s="13"/>
      <c r="TC16" s="13"/>
      <c r="TD16" s="13"/>
      <c r="TE16" s="13"/>
      <c r="TF16" s="13"/>
      <c r="TG16" s="13"/>
      <c r="TH16" s="13"/>
      <c r="TI16" s="13"/>
      <c r="TJ16" s="13"/>
      <c r="TK16" s="13"/>
      <c r="TL16" s="13"/>
      <c r="TM16" s="13"/>
      <c r="TN16" s="13"/>
      <c r="TO16" s="13"/>
      <c r="TP16" s="13"/>
      <c r="TQ16" s="13"/>
      <c r="TR16" s="13"/>
      <c r="TS16" s="13"/>
      <c r="TT16" s="13"/>
      <c r="TU16" s="13"/>
      <c r="TV16" s="13"/>
      <c r="TW16" s="13"/>
      <c r="TX16" s="13"/>
      <c r="TY16" s="13"/>
      <c r="TZ16" s="13"/>
      <c r="UA16" s="13"/>
      <c r="UB16" s="13"/>
      <c r="UC16" s="13"/>
      <c r="UD16" s="13"/>
      <c r="UE16" s="13"/>
      <c r="UF16" s="13"/>
      <c r="UG16" s="13"/>
      <c r="UH16" s="13"/>
      <c r="UI16" s="13"/>
      <c r="UJ16" s="13"/>
      <c r="UK16" s="13"/>
      <c r="UL16" s="13"/>
      <c r="UM16" s="13"/>
      <c r="UN16" s="13"/>
      <c r="UO16" s="13"/>
      <c r="UP16" s="13"/>
      <c r="UQ16" s="13"/>
      <c r="UR16" s="13"/>
      <c r="US16" s="13"/>
      <c r="UT16" s="13"/>
      <c r="UU16" s="13"/>
      <c r="UV16" s="13"/>
      <c r="UW16" s="13"/>
      <c r="UX16" s="13"/>
      <c r="UY16" s="13"/>
      <c r="UZ16" s="13"/>
      <c r="VA16" s="13"/>
      <c r="VB16" s="13"/>
      <c r="VC16" s="13"/>
      <c r="VD16" s="13"/>
      <c r="VE16" s="13"/>
      <c r="VF16" s="13"/>
      <c r="VG16" s="13"/>
      <c r="VH16" s="13"/>
      <c r="VI16" s="13"/>
      <c r="VJ16" s="13"/>
      <c r="VK16" s="13"/>
      <c r="VL16" s="13"/>
      <c r="VM16" s="13"/>
      <c r="VN16" s="13"/>
      <c r="VO16" s="13"/>
      <c r="VP16" s="13"/>
      <c r="VQ16" s="13"/>
      <c r="VR16" s="13"/>
      <c r="VS16" s="13"/>
      <c r="VT16" s="13"/>
      <c r="VU16" s="13"/>
      <c r="VV16" s="13"/>
      <c r="VW16" s="13"/>
      <c r="VX16" s="13"/>
      <c r="VY16" s="13"/>
      <c r="VZ16" s="13"/>
      <c r="WA16" s="13"/>
      <c r="WB16" s="13"/>
      <c r="WC16" s="13"/>
      <c r="WD16" s="13"/>
      <c r="WE16" s="13"/>
      <c r="WF16" s="13"/>
      <c r="WG16" s="13"/>
      <c r="WH16" s="13"/>
      <c r="WI16" s="13"/>
      <c r="WJ16" s="13"/>
      <c r="WK16" s="13"/>
      <c r="WL16" s="13"/>
      <c r="WM16" s="13"/>
      <c r="WN16" s="13"/>
      <c r="WO16" s="13"/>
      <c r="WP16" s="13"/>
      <c r="WQ16" s="13"/>
      <c r="WR16" s="13"/>
      <c r="WS16" s="13"/>
      <c r="WT16" s="13"/>
      <c r="WU16" s="13"/>
      <c r="WV16" s="13"/>
      <c r="WW16" s="13"/>
      <c r="WX16" s="13"/>
      <c r="WY16" s="13"/>
      <c r="WZ16" s="13"/>
      <c r="XA16" s="13"/>
      <c r="XB16" s="13"/>
      <c r="XC16" s="13"/>
      <c r="XD16" s="13"/>
      <c r="XE16" s="13"/>
      <c r="XF16" s="13"/>
      <c r="XG16" s="13"/>
      <c r="XH16" s="13"/>
      <c r="XI16" s="13"/>
      <c r="XJ16" s="13"/>
      <c r="XK16" s="13"/>
      <c r="XL16" s="13"/>
      <c r="XM16" s="13"/>
      <c r="XN16" s="13"/>
      <c r="XO16" s="13"/>
      <c r="XP16" s="13"/>
      <c r="XQ16" s="13"/>
      <c r="XR16" s="13"/>
      <c r="XS16" s="13"/>
      <c r="XT16" s="13"/>
      <c r="XU16" s="13"/>
      <c r="XV16" s="13"/>
      <c r="XW16" s="13"/>
      <c r="XX16" s="13"/>
      <c r="XY16" s="13"/>
      <c r="XZ16" s="13"/>
      <c r="YA16" s="13"/>
      <c r="YB16" s="13"/>
      <c r="YC16" s="13"/>
      <c r="YD16" s="13"/>
      <c r="YE16" s="13"/>
      <c r="YF16" s="13"/>
      <c r="YG16" s="13"/>
      <c r="YH16" s="13"/>
      <c r="YI16" s="13"/>
      <c r="YJ16" s="13"/>
      <c r="YK16" s="13"/>
      <c r="YL16" s="13"/>
      <c r="YM16" s="13"/>
      <c r="YN16" s="13"/>
      <c r="YO16" s="13"/>
      <c r="YP16" s="13"/>
      <c r="YQ16" s="13"/>
      <c r="YR16" s="13"/>
      <c r="YS16" s="13"/>
      <c r="YT16" s="13"/>
      <c r="YU16" s="13"/>
      <c r="YV16" s="13"/>
      <c r="YW16" s="13"/>
      <c r="YX16" s="13"/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  <c r="AAM16" s="13"/>
      <c r="AAN16" s="13"/>
      <c r="AAO16" s="13"/>
      <c r="AAP16" s="13"/>
      <c r="AAQ16" s="13"/>
      <c r="AAR16" s="13"/>
      <c r="AAS16" s="13"/>
      <c r="AAT16" s="13"/>
      <c r="AAU16" s="13"/>
      <c r="AAV16" s="13"/>
      <c r="AAW16" s="13"/>
      <c r="AAX16" s="13"/>
      <c r="AAY16" s="13"/>
      <c r="AAZ16" s="13"/>
      <c r="ABA16" s="13"/>
      <c r="ABB16" s="13"/>
      <c r="ABC16" s="13"/>
      <c r="ABD16" s="13"/>
      <c r="ABE16" s="13"/>
      <c r="ABF16" s="13"/>
      <c r="ABG16" s="13"/>
      <c r="ABH16" s="13"/>
      <c r="ABI16" s="13"/>
      <c r="ABJ16" s="13"/>
      <c r="ABK16" s="13"/>
      <c r="ABL16" s="13"/>
      <c r="ABM16" s="13"/>
      <c r="ABN16" s="13"/>
      <c r="ABO16" s="13"/>
      <c r="ABP16" s="13"/>
      <c r="ABQ16" s="13"/>
      <c r="ABR16" s="13"/>
      <c r="ABS16" s="13"/>
      <c r="ABT16" s="13"/>
      <c r="ABU16" s="13"/>
      <c r="ABV16" s="13"/>
      <c r="ABW16" s="13"/>
      <c r="ABX16" s="13"/>
      <c r="ABY16" s="13"/>
      <c r="ABZ16" s="13"/>
      <c r="ACA16" s="13"/>
      <c r="ACB16" s="13"/>
      <c r="ACC16" s="13"/>
      <c r="ACD16" s="13"/>
      <c r="ACE16" s="13"/>
      <c r="ACF16" s="13"/>
      <c r="ACG16" s="13"/>
      <c r="ACH16" s="13"/>
      <c r="ACI16" s="13"/>
      <c r="ACJ16" s="13"/>
      <c r="ACK16" s="13"/>
      <c r="ACL16" s="13"/>
      <c r="ACM16" s="13"/>
      <c r="ACN16" s="13"/>
      <c r="ACO16" s="13"/>
      <c r="ACP16" s="13"/>
      <c r="ACQ16" s="13"/>
      <c r="ACR16" s="13"/>
      <c r="ACS16" s="13"/>
      <c r="ACT16" s="13"/>
      <c r="ACU16" s="13"/>
      <c r="ACV16" s="13"/>
      <c r="ACW16" s="13"/>
      <c r="ACX16" s="13"/>
      <c r="ACY16" s="13"/>
      <c r="ACZ16" s="13"/>
      <c r="ADA16" s="13"/>
      <c r="ADB16" s="13"/>
      <c r="ADC16" s="13"/>
      <c r="ADD16" s="13"/>
      <c r="ADE16" s="13"/>
      <c r="ADF16" s="13"/>
      <c r="ADG16" s="13"/>
      <c r="ADH16" s="13"/>
      <c r="ADI16" s="13"/>
      <c r="ADJ16" s="13"/>
      <c r="ADK16" s="13"/>
      <c r="ADL16" s="13"/>
      <c r="ADM16" s="13"/>
      <c r="ADN16" s="13"/>
      <c r="ADO16" s="13"/>
      <c r="ADP16" s="13"/>
      <c r="ADQ16" s="13"/>
      <c r="ADR16" s="13"/>
      <c r="ADS16" s="13"/>
      <c r="ADT16" s="13"/>
      <c r="ADU16" s="13"/>
      <c r="ADV16" s="13"/>
      <c r="ADW16" s="13"/>
      <c r="ADX16" s="13"/>
      <c r="ADY16" s="13"/>
      <c r="ADZ16" s="13"/>
      <c r="AEA16" s="13"/>
      <c r="AEB16" s="13"/>
      <c r="AEC16" s="13"/>
      <c r="AED16" s="13"/>
      <c r="AEE16" s="13"/>
      <c r="AEF16" s="13"/>
      <c r="AEG16" s="13"/>
      <c r="AEH16" s="13"/>
      <c r="AEI16" s="13"/>
      <c r="AEJ16" s="13"/>
      <c r="AEK16" s="13"/>
      <c r="AEL16" s="13"/>
      <c r="AEM16" s="13"/>
      <c r="AEN16" s="13"/>
      <c r="AEO16" s="13"/>
      <c r="AEP16" s="13"/>
      <c r="AEQ16" s="13"/>
      <c r="AER16" s="13"/>
      <c r="AES16" s="13"/>
      <c r="AET16" s="13"/>
      <c r="AEU16" s="13"/>
      <c r="AEV16" s="13"/>
      <c r="AEW16" s="13"/>
      <c r="AEX16" s="13"/>
      <c r="AEY16" s="13"/>
      <c r="AEZ16" s="13"/>
      <c r="AFA16" s="13"/>
      <c r="AFB16" s="13"/>
      <c r="AFC16" s="13"/>
      <c r="AFD16" s="13"/>
      <c r="AFE16" s="13"/>
      <c r="AFF16" s="13"/>
      <c r="AFG16" s="13"/>
      <c r="AFH16" s="13"/>
      <c r="AFI16" s="13"/>
      <c r="AFJ16" s="13"/>
      <c r="AFK16" s="13"/>
      <c r="AFL16" s="13"/>
      <c r="AFM16" s="13"/>
      <c r="AFN16" s="13"/>
      <c r="AFO16" s="13"/>
      <c r="AFP16" s="13"/>
      <c r="AFQ16" s="13"/>
      <c r="AFR16" s="13"/>
      <c r="AFS16" s="13"/>
      <c r="AFT16" s="13"/>
      <c r="AFU16" s="13"/>
      <c r="AFV16" s="13"/>
      <c r="AFW16" s="13"/>
      <c r="AFX16" s="13"/>
      <c r="AFY16" s="13"/>
      <c r="AFZ16" s="13"/>
      <c r="AGA16" s="13"/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/>
      <c r="AGX16" s="13"/>
      <c r="AGY16" s="13"/>
      <c r="AGZ16" s="13"/>
      <c r="AHA16" s="13"/>
      <c r="AHB16" s="13"/>
      <c r="AHC16" s="13"/>
      <c r="AHD16" s="13"/>
      <c r="AHE16" s="13"/>
      <c r="AHF16" s="13"/>
      <c r="AHG16" s="13"/>
      <c r="AHH16" s="13"/>
      <c r="AHI16" s="13"/>
      <c r="AHJ16" s="13"/>
      <c r="AHK16" s="13"/>
      <c r="AHL16" s="13"/>
      <c r="AHM16" s="13"/>
      <c r="AHN16" s="13"/>
      <c r="AHO16" s="13"/>
      <c r="AHP16" s="13"/>
      <c r="AHQ16" s="13"/>
      <c r="AHR16" s="13"/>
      <c r="AHS16" s="13"/>
      <c r="AHT16" s="13"/>
      <c r="AHU16" s="13"/>
      <c r="AHV16" s="13"/>
      <c r="AHW16" s="13"/>
      <c r="AHX16" s="13"/>
      <c r="AHY16" s="13"/>
      <c r="AHZ16" s="13"/>
      <c r="AIA16" s="13"/>
      <c r="AIB16" s="13"/>
      <c r="AIC16" s="13"/>
      <c r="AID16" s="13"/>
      <c r="AIE16" s="13"/>
      <c r="AIF16" s="13"/>
      <c r="AIG16" s="13"/>
      <c r="AIH16" s="13"/>
      <c r="AII16" s="13"/>
      <c r="AIJ16" s="13"/>
      <c r="AIK16" s="13"/>
      <c r="AIL16" s="13"/>
      <c r="AIM16" s="13"/>
      <c r="AIN16" s="13"/>
      <c r="AIO16" s="13"/>
      <c r="AIP16" s="13"/>
      <c r="AIQ16" s="13"/>
      <c r="AIR16" s="13"/>
      <c r="AIS16" s="13"/>
      <c r="AIT16" s="13"/>
      <c r="AIU16" s="13"/>
      <c r="AIV16" s="13"/>
      <c r="AIW16" s="13"/>
      <c r="AIX16" s="13"/>
      <c r="AIY16" s="13"/>
      <c r="AIZ16" s="13"/>
      <c r="AJA16" s="13"/>
      <c r="AJB16" s="13"/>
      <c r="AJC16" s="13"/>
      <c r="AJD16" s="13"/>
      <c r="AJE16" s="13"/>
      <c r="AJF16" s="13"/>
      <c r="AJG16" s="13"/>
      <c r="AJH16" s="13"/>
      <c r="AJI16" s="13"/>
      <c r="AJJ16" s="13"/>
      <c r="AJK16" s="13"/>
      <c r="AJL16" s="13"/>
      <c r="AJM16" s="13"/>
      <c r="AJN16" s="13"/>
      <c r="AJO16" s="13"/>
      <c r="AJP16" s="13"/>
      <c r="AJQ16" s="13"/>
      <c r="AJR16" s="13"/>
      <c r="AJS16" s="13"/>
      <c r="AJT16" s="13"/>
      <c r="AJU16" s="13"/>
      <c r="AJV16" s="13"/>
      <c r="AJW16" s="13"/>
      <c r="AJX16" s="13"/>
      <c r="AJY16" s="13"/>
      <c r="AJZ16" s="13"/>
      <c r="AKA16" s="13"/>
      <c r="AKB16" s="13"/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  <c r="AKR16" s="13"/>
      <c r="AKS16" s="13"/>
      <c r="AKT16" s="13"/>
      <c r="AKU16" s="13"/>
      <c r="AKV16" s="13"/>
      <c r="AKW16" s="13"/>
      <c r="AKX16" s="13"/>
      <c r="AKY16" s="13"/>
      <c r="AKZ16" s="13"/>
      <c r="ALA16" s="13"/>
      <c r="ALB16" s="13"/>
      <c r="ALC16" s="13"/>
      <c r="ALD16" s="13"/>
      <c r="ALE16" s="13"/>
      <c r="ALF16" s="13"/>
      <c r="ALG16" s="13"/>
      <c r="ALH16" s="13"/>
      <c r="ALI16" s="13"/>
      <c r="ALJ16" s="13"/>
      <c r="ALK16" s="13"/>
      <c r="ALL16" s="13"/>
      <c r="ALM16" s="13"/>
      <c r="ALN16" s="13"/>
      <c r="ALO16" s="13"/>
    </row>
    <row r="17" spans="1:1012" x14ac:dyDescent="0.35">
      <c r="A17" s="1" t="s">
        <v>5</v>
      </c>
      <c r="B17" s="144"/>
      <c r="E17" s="73"/>
      <c r="F17" s="143"/>
      <c r="I17" s="145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  <c r="QQ17" s="13"/>
      <c r="QR17" s="13"/>
      <c r="QS17" s="13"/>
      <c r="QT17" s="13"/>
      <c r="QU17" s="13"/>
      <c r="QV17" s="13"/>
      <c r="QW17" s="13"/>
      <c r="QX17" s="13"/>
      <c r="QY17" s="13"/>
      <c r="QZ17" s="13"/>
      <c r="RA17" s="13"/>
      <c r="RB17" s="13"/>
      <c r="RC17" s="13"/>
      <c r="RD17" s="13"/>
      <c r="RE17" s="13"/>
      <c r="RF17" s="13"/>
      <c r="RG17" s="13"/>
      <c r="RH17" s="13"/>
      <c r="RI17" s="13"/>
      <c r="RJ17" s="13"/>
      <c r="RK17" s="13"/>
      <c r="RL17" s="13"/>
      <c r="RM17" s="13"/>
      <c r="RN17" s="13"/>
      <c r="RO17" s="13"/>
      <c r="RP17" s="13"/>
      <c r="RQ17" s="13"/>
      <c r="RR17" s="13"/>
      <c r="RS17" s="13"/>
      <c r="RT17" s="13"/>
      <c r="RU17" s="13"/>
      <c r="RV17" s="13"/>
      <c r="RW17" s="13"/>
      <c r="RX17" s="13"/>
      <c r="RY17" s="13"/>
      <c r="RZ17" s="13"/>
      <c r="SA17" s="13"/>
      <c r="SB17" s="13"/>
      <c r="SC17" s="13"/>
      <c r="SD17" s="13"/>
      <c r="SE17" s="13"/>
      <c r="SF17" s="13"/>
      <c r="SG17" s="13"/>
      <c r="SH17" s="13"/>
      <c r="SI17" s="13"/>
      <c r="SJ17" s="13"/>
      <c r="SK17" s="13"/>
      <c r="SL17" s="13"/>
      <c r="SM17" s="13"/>
      <c r="SN17" s="13"/>
      <c r="SO17" s="13"/>
      <c r="SP17" s="13"/>
      <c r="SQ17" s="13"/>
      <c r="SR17" s="13"/>
      <c r="SS17" s="13"/>
      <c r="ST17" s="13"/>
      <c r="SU17" s="13"/>
      <c r="SV17" s="13"/>
      <c r="SW17" s="13"/>
      <c r="SX17" s="13"/>
      <c r="SY17" s="13"/>
      <c r="SZ17" s="13"/>
      <c r="TA17" s="13"/>
      <c r="TB17" s="13"/>
      <c r="TC17" s="13"/>
      <c r="TD17" s="13"/>
      <c r="TE17" s="13"/>
      <c r="TF17" s="13"/>
      <c r="TG17" s="13"/>
      <c r="TH17" s="13"/>
      <c r="TI17" s="13"/>
      <c r="TJ17" s="13"/>
      <c r="TK17" s="13"/>
      <c r="TL17" s="13"/>
      <c r="TM17" s="13"/>
      <c r="TN17" s="13"/>
      <c r="TO17" s="13"/>
      <c r="TP17" s="13"/>
      <c r="TQ17" s="13"/>
      <c r="TR17" s="13"/>
      <c r="TS17" s="13"/>
      <c r="TT17" s="13"/>
      <c r="TU17" s="13"/>
      <c r="TV17" s="13"/>
      <c r="TW17" s="13"/>
      <c r="TX17" s="13"/>
      <c r="TY17" s="13"/>
      <c r="TZ17" s="13"/>
      <c r="UA17" s="13"/>
      <c r="UB17" s="13"/>
      <c r="UC17" s="13"/>
      <c r="UD17" s="13"/>
      <c r="UE17" s="13"/>
      <c r="UF17" s="13"/>
      <c r="UG17" s="13"/>
      <c r="UH17" s="13"/>
      <c r="UI17" s="13"/>
      <c r="UJ17" s="13"/>
      <c r="UK17" s="13"/>
      <c r="UL17" s="13"/>
      <c r="UM17" s="13"/>
      <c r="UN17" s="13"/>
      <c r="UO17" s="13"/>
      <c r="UP17" s="13"/>
      <c r="UQ17" s="13"/>
      <c r="UR17" s="13"/>
      <c r="US17" s="13"/>
      <c r="UT17" s="13"/>
      <c r="UU17" s="13"/>
      <c r="UV17" s="13"/>
      <c r="UW17" s="13"/>
      <c r="UX17" s="13"/>
      <c r="UY17" s="13"/>
      <c r="UZ17" s="13"/>
      <c r="VA17" s="13"/>
      <c r="VB17" s="13"/>
      <c r="VC17" s="13"/>
      <c r="VD17" s="13"/>
      <c r="VE17" s="13"/>
      <c r="VF17" s="13"/>
      <c r="VG17" s="13"/>
      <c r="VH17" s="13"/>
      <c r="VI17" s="13"/>
      <c r="VJ17" s="13"/>
      <c r="VK17" s="13"/>
      <c r="VL17" s="13"/>
      <c r="VM17" s="13"/>
      <c r="VN17" s="13"/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  <c r="AAM17" s="13"/>
      <c r="AAN17" s="13"/>
      <c r="AAO17" s="13"/>
      <c r="AAP17" s="13"/>
      <c r="AAQ17" s="13"/>
      <c r="AAR17" s="13"/>
      <c r="AAS17" s="13"/>
      <c r="AAT17" s="13"/>
      <c r="AAU17" s="13"/>
      <c r="AAV17" s="13"/>
      <c r="AAW17" s="13"/>
      <c r="AAX17" s="13"/>
      <c r="AAY17" s="13"/>
      <c r="AAZ17" s="13"/>
      <c r="ABA17" s="13"/>
      <c r="ABB17" s="13"/>
      <c r="ABC17" s="13"/>
      <c r="ABD17" s="13"/>
      <c r="ABE17" s="13"/>
      <c r="ABF17" s="13"/>
      <c r="ABG17" s="13"/>
      <c r="ABH17" s="13"/>
      <c r="ABI17" s="13"/>
      <c r="ABJ17" s="13"/>
      <c r="ABK17" s="13"/>
      <c r="ABL17" s="13"/>
      <c r="ABM17" s="13"/>
      <c r="ABN17" s="13"/>
      <c r="ABO17" s="13"/>
      <c r="ABP17" s="13"/>
      <c r="ABQ17" s="13"/>
      <c r="ABR17" s="13"/>
      <c r="ABS17" s="13"/>
      <c r="ABT17" s="13"/>
      <c r="ABU17" s="13"/>
      <c r="ABV17" s="13"/>
      <c r="ABW17" s="13"/>
      <c r="ABX17" s="13"/>
      <c r="ABY17" s="13"/>
      <c r="ABZ17" s="13"/>
      <c r="ACA17" s="13"/>
      <c r="ACB17" s="13"/>
      <c r="ACC17" s="13"/>
      <c r="ACD17" s="13"/>
      <c r="ACE17" s="13"/>
      <c r="ACF17" s="13"/>
      <c r="ACG17" s="13"/>
      <c r="ACH17" s="13"/>
      <c r="ACI17" s="13"/>
      <c r="ACJ17" s="13"/>
      <c r="ACK17" s="13"/>
      <c r="ACL17" s="13"/>
      <c r="ACM17" s="13"/>
      <c r="ACN17" s="13"/>
      <c r="ACO17" s="13"/>
      <c r="ACP17" s="13"/>
      <c r="ACQ17" s="13"/>
      <c r="ACR17" s="13"/>
      <c r="ACS17" s="13"/>
      <c r="ACT17" s="13"/>
      <c r="ACU17" s="13"/>
      <c r="ACV17" s="13"/>
      <c r="ACW17" s="13"/>
      <c r="ACX17" s="13"/>
      <c r="ACY17" s="13"/>
      <c r="ACZ17" s="13"/>
      <c r="ADA17" s="13"/>
      <c r="ADB17" s="13"/>
      <c r="ADC17" s="13"/>
      <c r="ADD17" s="13"/>
      <c r="ADE17" s="13"/>
      <c r="ADF17" s="13"/>
      <c r="ADG17" s="13"/>
      <c r="ADH17" s="13"/>
      <c r="ADI17" s="13"/>
      <c r="ADJ17" s="13"/>
      <c r="ADK17" s="13"/>
      <c r="ADL17" s="13"/>
      <c r="ADM17" s="13"/>
      <c r="ADN17" s="13"/>
      <c r="ADO17" s="13"/>
      <c r="ADP17" s="13"/>
      <c r="ADQ17" s="13"/>
      <c r="ADR17" s="13"/>
      <c r="ADS17" s="13"/>
      <c r="ADT17" s="13"/>
      <c r="ADU17" s="13"/>
      <c r="ADV17" s="13"/>
      <c r="ADW17" s="13"/>
      <c r="ADX17" s="13"/>
      <c r="ADY17" s="13"/>
      <c r="ADZ17" s="13"/>
      <c r="AEA17" s="13"/>
      <c r="AEB17" s="13"/>
      <c r="AEC17" s="13"/>
      <c r="AED17" s="13"/>
      <c r="AEE17" s="13"/>
      <c r="AEF17" s="13"/>
      <c r="AEG17" s="13"/>
      <c r="AEH17" s="13"/>
      <c r="AEI17" s="13"/>
      <c r="AEJ17" s="13"/>
      <c r="AEK17" s="13"/>
      <c r="AEL17" s="13"/>
      <c r="AEM17" s="13"/>
      <c r="AEN17" s="13"/>
      <c r="AEO17" s="13"/>
      <c r="AEP17" s="13"/>
      <c r="AEQ17" s="13"/>
      <c r="AER17" s="13"/>
      <c r="AES17" s="13"/>
      <c r="AET17" s="13"/>
      <c r="AEU17" s="13"/>
      <c r="AEV17" s="13"/>
      <c r="AEW17" s="13"/>
      <c r="AEX17" s="13"/>
      <c r="AEY17" s="13"/>
      <c r="AEZ17" s="13"/>
      <c r="AFA17" s="13"/>
      <c r="AFB17" s="13"/>
      <c r="AFC17" s="13"/>
      <c r="AFD17" s="13"/>
      <c r="AFE17" s="13"/>
      <c r="AFF17" s="13"/>
      <c r="AFG17" s="13"/>
      <c r="AFH17" s="13"/>
      <c r="AFI17" s="13"/>
      <c r="AFJ17" s="13"/>
      <c r="AFK17" s="13"/>
      <c r="AFL17" s="13"/>
      <c r="AFM17" s="13"/>
      <c r="AFN17" s="13"/>
      <c r="AFO17" s="13"/>
      <c r="AFP17" s="13"/>
      <c r="AFQ17" s="13"/>
      <c r="AFR17" s="13"/>
      <c r="AFS17" s="13"/>
      <c r="AFT17" s="13"/>
      <c r="AFU17" s="13"/>
      <c r="AFV17" s="13"/>
      <c r="AFW17" s="13"/>
      <c r="AFX17" s="13"/>
      <c r="AFY17" s="13"/>
      <c r="AFZ17" s="13"/>
      <c r="AGA17" s="13"/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/>
      <c r="AGX17" s="13"/>
      <c r="AGY17" s="13"/>
      <c r="AGZ17" s="13"/>
      <c r="AHA17" s="13"/>
      <c r="AHB17" s="13"/>
      <c r="AHC17" s="13"/>
      <c r="AHD17" s="13"/>
      <c r="AHE17" s="13"/>
      <c r="AHF17" s="13"/>
      <c r="AHG17" s="13"/>
      <c r="AHH17" s="13"/>
      <c r="AHI17" s="13"/>
      <c r="AHJ17" s="13"/>
      <c r="AHK17" s="13"/>
      <c r="AHL17" s="13"/>
      <c r="AHM17" s="13"/>
      <c r="AHN17" s="13"/>
      <c r="AHO17" s="13"/>
      <c r="AHP17" s="13"/>
      <c r="AHQ17" s="13"/>
      <c r="AHR17" s="13"/>
      <c r="AHS17" s="13"/>
      <c r="AHT17" s="13"/>
      <c r="AHU17" s="13"/>
      <c r="AHV17" s="13"/>
      <c r="AHW17" s="13"/>
      <c r="AHX17" s="13"/>
      <c r="AHY17" s="13"/>
      <c r="AHZ17" s="13"/>
      <c r="AIA17" s="13"/>
      <c r="AIB17" s="13"/>
      <c r="AIC17" s="13"/>
      <c r="AID17" s="13"/>
      <c r="AIE17" s="13"/>
      <c r="AIF17" s="13"/>
      <c r="AIG17" s="13"/>
      <c r="AIH17" s="13"/>
      <c r="AII17" s="13"/>
      <c r="AIJ17" s="13"/>
      <c r="AIK17" s="13"/>
      <c r="AIL17" s="13"/>
      <c r="AIM17" s="13"/>
      <c r="AIN17" s="13"/>
      <c r="AIO17" s="13"/>
      <c r="AIP17" s="13"/>
      <c r="AIQ17" s="13"/>
      <c r="AIR17" s="13"/>
      <c r="AIS17" s="13"/>
      <c r="AIT17" s="13"/>
      <c r="AIU17" s="13"/>
      <c r="AIV17" s="13"/>
      <c r="AIW17" s="13"/>
      <c r="AIX17" s="13"/>
      <c r="AIY17" s="13"/>
      <c r="AIZ17" s="13"/>
      <c r="AJA17" s="13"/>
      <c r="AJB17" s="13"/>
      <c r="AJC17" s="13"/>
      <c r="AJD17" s="13"/>
      <c r="AJE17" s="13"/>
      <c r="AJF17" s="13"/>
      <c r="AJG17" s="13"/>
      <c r="AJH17" s="13"/>
      <c r="AJI17" s="13"/>
      <c r="AJJ17" s="13"/>
      <c r="AJK17" s="13"/>
      <c r="AJL17" s="13"/>
      <c r="AJM17" s="13"/>
      <c r="AJN17" s="13"/>
      <c r="AJO17" s="13"/>
      <c r="AJP17" s="13"/>
      <c r="AJQ17" s="13"/>
      <c r="AJR17" s="13"/>
      <c r="AJS17" s="13"/>
      <c r="AJT17" s="13"/>
      <c r="AJU17" s="13"/>
      <c r="AJV17" s="13"/>
      <c r="AJW17" s="13"/>
      <c r="AJX17" s="13"/>
      <c r="AJY17" s="13"/>
      <c r="AJZ17" s="13"/>
      <c r="AKA17" s="13"/>
      <c r="AKB17" s="13"/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  <c r="AKR17" s="13"/>
      <c r="AKS17" s="13"/>
      <c r="AKT17" s="13"/>
      <c r="AKU17" s="13"/>
      <c r="AKV17" s="13"/>
      <c r="AKW17" s="13"/>
      <c r="AKX17" s="13"/>
      <c r="AKY17" s="13"/>
      <c r="AKZ17" s="13"/>
      <c r="ALA17" s="13"/>
      <c r="ALB17" s="13"/>
      <c r="ALC17" s="13"/>
      <c r="ALD17" s="13"/>
      <c r="ALE17" s="13"/>
      <c r="ALF17" s="13"/>
      <c r="ALG17" s="13"/>
      <c r="ALH17" s="13"/>
      <c r="ALI17" s="13"/>
      <c r="ALJ17" s="13"/>
      <c r="ALK17" s="13"/>
      <c r="ALL17" s="13"/>
      <c r="ALM17" s="13"/>
      <c r="ALN17" s="13"/>
      <c r="ALO17" s="13"/>
    </row>
    <row r="18" spans="1:1012" x14ac:dyDescent="0.35">
      <c r="A18" s="19" t="s">
        <v>37</v>
      </c>
      <c r="B18" s="1"/>
      <c r="E18" s="73"/>
      <c r="F18" s="14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  <c r="VC18" s="13"/>
      <c r="VD18" s="13"/>
      <c r="VE18" s="13"/>
      <c r="VF18" s="13"/>
      <c r="VG18" s="13"/>
      <c r="VH18" s="13"/>
      <c r="VI18" s="13"/>
      <c r="VJ18" s="13"/>
      <c r="VK18" s="13"/>
      <c r="VL18" s="13"/>
      <c r="VM18" s="13"/>
      <c r="VN18" s="13"/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  <c r="ADW18" s="13"/>
      <c r="ADX18" s="13"/>
      <c r="ADY18" s="13"/>
      <c r="ADZ18" s="13"/>
      <c r="AEA18" s="13"/>
      <c r="AEB18" s="13"/>
      <c r="AEC18" s="13"/>
      <c r="AED18" s="13"/>
      <c r="AEE18" s="13"/>
      <c r="AEF18" s="13"/>
      <c r="AEG18" s="13"/>
      <c r="AEH18" s="13"/>
      <c r="AEI18" s="13"/>
      <c r="AEJ18" s="13"/>
      <c r="AEK18" s="13"/>
      <c r="AEL18" s="13"/>
      <c r="AEM18" s="13"/>
      <c r="AEN18" s="13"/>
      <c r="AEO18" s="13"/>
      <c r="AEP18" s="13"/>
      <c r="AEQ18" s="13"/>
      <c r="AER18" s="13"/>
      <c r="AES18" s="13"/>
      <c r="AET18" s="13"/>
      <c r="AEU18" s="13"/>
      <c r="AEV18" s="13"/>
      <c r="AEW18" s="13"/>
      <c r="AEX18" s="13"/>
      <c r="AEY18" s="13"/>
      <c r="AEZ18" s="13"/>
      <c r="AFA18" s="13"/>
      <c r="AFB18" s="13"/>
      <c r="AFC18" s="13"/>
      <c r="AFD18" s="13"/>
      <c r="AFE18" s="13"/>
      <c r="AFF18" s="13"/>
      <c r="AFG18" s="13"/>
      <c r="AFH18" s="13"/>
      <c r="AFI18" s="13"/>
      <c r="AFJ18" s="13"/>
      <c r="AFK18" s="13"/>
      <c r="AFL18" s="13"/>
      <c r="AFM18" s="13"/>
      <c r="AFN18" s="13"/>
      <c r="AFO18" s="13"/>
      <c r="AFP18" s="13"/>
      <c r="AFQ18" s="13"/>
      <c r="AFR18" s="13"/>
      <c r="AFS18" s="13"/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  <c r="AKZ18" s="13"/>
      <c r="ALA18" s="13"/>
      <c r="ALB18" s="13"/>
      <c r="ALC18" s="13"/>
      <c r="ALD18" s="13"/>
      <c r="ALE18" s="13"/>
      <c r="ALF18" s="13"/>
      <c r="ALG18" s="13"/>
      <c r="ALH18" s="13"/>
      <c r="ALI18" s="13"/>
      <c r="ALJ18" s="13"/>
      <c r="ALK18" s="13"/>
      <c r="ALL18" s="13"/>
      <c r="ALM18" s="13"/>
      <c r="ALN18" s="13"/>
      <c r="ALO18" s="13"/>
    </row>
    <row r="19" spans="1:1012" x14ac:dyDescent="0.35">
      <c r="A19" s="2" t="s">
        <v>6</v>
      </c>
      <c r="C19" s="3">
        <v>10</v>
      </c>
      <c r="D19" s="3"/>
      <c r="E19" s="73">
        <f>+'P11'!J17</f>
        <v>6000</v>
      </c>
      <c r="F19" s="14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</row>
    <row r="20" spans="1:1012" x14ac:dyDescent="0.35">
      <c r="A20" s="2" t="s">
        <v>7</v>
      </c>
      <c r="E20" s="73">
        <f>+CE!G13</f>
        <v>2123756</v>
      </c>
      <c r="F20" s="14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  <c r="VC20" s="13"/>
      <c r="VD20" s="13"/>
      <c r="VE20" s="13"/>
      <c r="VF20" s="13"/>
      <c r="VG20" s="13"/>
      <c r="VH20" s="13"/>
      <c r="VI20" s="13"/>
      <c r="VJ20" s="13"/>
      <c r="VK20" s="13"/>
      <c r="VL20" s="13"/>
      <c r="VM20" s="13"/>
      <c r="VN20" s="13"/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  <c r="ADW20" s="13"/>
      <c r="ADX20" s="13"/>
      <c r="ADY20" s="13"/>
      <c r="ADZ20" s="13"/>
      <c r="AEA20" s="13"/>
      <c r="AEB20" s="13"/>
      <c r="AEC20" s="13"/>
      <c r="AED20" s="13"/>
      <c r="AEE20" s="13"/>
      <c r="AEF20" s="13"/>
      <c r="AEG20" s="13"/>
      <c r="AEH20" s="13"/>
      <c r="AEI20" s="13"/>
      <c r="AEJ20" s="13"/>
      <c r="AEK20" s="13"/>
      <c r="AEL20" s="13"/>
      <c r="AEM20" s="13"/>
      <c r="AEN20" s="13"/>
      <c r="AEO20" s="13"/>
      <c r="AEP20" s="13"/>
      <c r="AEQ20" s="13"/>
      <c r="AER20" s="13"/>
      <c r="AES20" s="13"/>
      <c r="AET20" s="13"/>
      <c r="AEU20" s="13"/>
      <c r="AEV20" s="13"/>
      <c r="AEW20" s="13"/>
      <c r="AEX20" s="13"/>
      <c r="AEY20" s="13"/>
      <c r="AEZ20" s="13"/>
      <c r="AFA20" s="13"/>
      <c r="AFB20" s="13"/>
      <c r="AFC20" s="13"/>
      <c r="AFD20" s="13"/>
      <c r="AFE20" s="13"/>
      <c r="AFF20" s="13"/>
      <c r="AFG20" s="13"/>
      <c r="AFH20" s="13"/>
      <c r="AFI20" s="13"/>
      <c r="AFJ20" s="13"/>
      <c r="AFK20" s="13"/>
      <c r="AFL20" s="13"/>
      <c r="AFM20" s="13"/>
      <c r="AFN20" s="13"/>
      <c r="AFO20" s="13"/>
      <c r="AFP20" s="13"/>
      <c r="AFQ20" s="13"/>
      <c r="AFR20" s="13"/>
      <c r="AFS20" s="13"/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</row>
    <row r="21" spans="1:1012" x14ac:dyDescent="0.35">
      <c r="E21" s="126">
        <f>SUM(E19:E20)</f>
        <v>2129756</v>
      </c>
      <c r="F21" s="143"/>
      <c r="J21" s="6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</row>
    <row r="22" spans="1:1012" x14ac:dyDescent="0.35">
      <c r="E22" s="121"/>
      <c r="F22" s="14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</row>
    <row r="23" spans="1:1012" x14ac:dyDescent="0.35">
      <c r="A23" s="1" t="s">
        <v>40</v>
      </c>
      <c r="E23" s="121">
        <v>0</v>
      </c>
      <c r="F23" s="14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  <c r="QQ23" s="13"/>
      <c r="QR23" s="13"/>
      <c r="QS23" s="13"/>
      <c r="QT23" s="13"/>
      <c r="QU23" s="13"/>
      <c r="QV23" s="13"/>
      <c r="QW23" s="13"/>
      <c r="QX23" s="13"/>
      <c r="QY23" s="13"/>
      <c r="QZ23" s="13"/>
      <c r="RA23" s="13"/>
      <c r="RB23" s="13"/>
      <c r="RC23" s="13"/>
      <c r="RD23" s="13"/>
      <c r="RE23" s="13"/>
      <c r="RF23" s="13"/>
      <c r="RG23" s="13"/>
      <c r="RH23" s="13"/>
      <c r="RI23" s="13"/>
      <c r="RJ23" s="13"/>
      <c r="RK23" s="13"/>
      <c r="RL23" s="13"/>
      <c r="RM23" s="13"/>
      <c r="RN23" s="13"/>
      <c r="RO23" s="13"/>
      <c r="RP23" s="13"/>
      <c r="RQ23" s="13"/>
      <c r="RR23" s="13"/>
      <c r="RS23" s="13"/>
      <c r="RT23" s="13"/>
      <c r="RU23" s="13"/>
      <c r="RV23" s="13"/>
      <c r="RW23" s="13"/>
      <c r="RX23" s="13"/>
      <c r="RY23" s="13"/>
      <c r="RZ23" s="13"/>
      <c r="SA23" s="13"/>
      <c r="SB23" s="13"/>
      <c r="SC23" s="13"/>
      <c r="SD23" s="13"/>
      <c r="SE23" s="13"/>
      <c r="SF23" s="13"/>
      <c r="SG23" s="13"/>
      <c r="SH23" s="13"/>
      <c r="SI23" s="13"/>
      <c r="SJ23" s="13"/>
      <c r="SK23" s="13"/>
      <c r="SL23" s="13"/>
      <c r="SM23" s="13"/>
      <c r="SN23" s="13"/>
      <c r="SO23" s="13"/>
      <c r="SP23" s="13"/>
      <c r="SQ23" s="13"/>
      <c r="SR23" s="13"/>
      <c r="SS23" s="13"/>
      <c r="ST23" s="13"/>
      <c r="SU23" s="13"/>
      <c r="SV23" s="13"/>
      <c r="SW23" s="13"/>
      <c r="SX23" s="13"/>
      <c r="SY23" s="13"/>
      <c r="SZ23" s="13"/>
      <c r="TA23" s="13"/>
      <c r="TB23" s="13"/>
      <c r="TC23" s="13"/>
      <c r="TD23" s="13"/>
      <c r="TE23" s="13"/>
      <c r="TF23" s="13"/>
      <c r="TG23" s="13"/>
      <c r="TH23" s="13"/>
      <c r="TI23" s="13"/>
      <c r="TJ23" s="13"/>
      <c r="TK23" s="13"/>
      <c r="TL23" s="13"/>
      <c r="TM23" s="13"/>
      <c r="TN23" s="13"/>
      <c r="TO23" s="13"/>
      <c r="TP23" s="13"/>
      <c r="TQ23" s="13"/>
      <c r="TR23" s="13"/>
      <c r="TS23" s="13"/>
      <c r="TT23" s="13"/>
      <c r="TU23" s="13"/>
      <c r="TV23" s="13"/>
      <c r="TW23" s="13"/>
      <c r="TX23" s="13"/>
      <c r="TY23" s="13"/>
      <c r="TZ23" s="13"/>
      <c r="UA23" s="13"/>
      <c r="UB23" s="13"/>
      <c r="UC23" s="13"/>
      <c r="UD23" s="13"/>
      <c r="UE23" s="13"/>
      <c r="UF23" s="13"/>
      <c r="UG23" s="13"/>
      <c r="UH23" s="13"/>
      <c r="UI23" s="13"/>
      <c r="UJ23" s="13"/>
      <c r="UK23" s="13"/>
      <c r="UL23" s="13"/>
      <c r="UM23" s="13"/>
      <c r="UN23" s="13"/>
      <c r="UO23" s="13"/>
      <c r="UP23" s="13"/>
      <c r="UQ23" s="13"/>
      <c r="UR23" s="13"/>
      <c r="US23" s="13"/>
      <c r="UT23" s="13"/>
      <c r="UU23" s="13"/>
      <c r="UV23" s="13"/>
      <c r="UW23" s="13"/>
      <c r="UX23" s="13"/>
      <c r="UY23" s="13"/>
      <c r="UZ23" s="13"/>
      <c r="VA23" s="13"/>
      <c r="VB23" s="13"/>
      <c r="VC23" s="13"/>
      <c r="VD23" s="13"/>
      <c r="VE23" s="13"/>
      <c r="VF23" s="13"/>
      <c r="VG23" s="13"/>
      <c r="VH23" s="13"/>
      <c r="VI23" s="13"/>
      <c r="VJ23" s="13"/>
      <c r="VK23" s="13"/>
      <c r="VL23" s="13"/>
      <c r="VM23" s="13"/>
      <c r="VN23" s="13"/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  <c r="AAM23" s="13"/>
      <c r="AAN23" s="13"/>
      <c r="AAO23" s="13"/>
      <c r="AAP23" s="13"/>
      <c r="AAQ23" s="13"/>
      <c r="AAR23" s="13"/>
      <c r="AAS23" s="13"/>
      <c r="AAT23" s="13"/>
      <c r="AAU23" s="13"/>
      <c r="AAV23" s="13"/>
      <c r="AAW23" s="13"/>
      <c r="AAX23" s="13"/>
      <c r="AAY23" s="13"/>
      <c r="AAZ23" s="13"/>
      <c r="ABA23" s="13"/>
      <c r="ABB23" s="13"/>
      <c r="ABC23" s="13"/>
      <c r="ABD23" s="13"/>
      <c r="ABE23" s="13"/>
      <c r="ABF23" s="13"/>
      <c r="ABG23" s="13"/>
      <c r="ABH23" s="13"/>
      <c r="ABI23" s="13"/>
      <c r="ABJ23" s="13"/>
      <c r="ABK23" s="13"/>
      <c r="ABL23" s="13"/>
      <c r="ABM23" s="13"/>
      <c r="ABN23" s="13"/>
      <c r="ABO23" s="13"/>
      <c r="ABP23" s="13"/>
      <c r="ABQ23" s="13"/>
      <c r="ABR23" s="13"/>
      <c r="ABS23" s="13"/>
      <c r="ABT23" s="13"/>
      <c r="ABU23" s="13"/>
      <c r="ABV23" s="13"/>
      <c r="ABW23" s="13"/>
      <c r="ABX23" s="13"/>
      <c r="ABY23" s="13"/>
      <c r="ABZ23" s="13"/>
      <c r="ACA23" s="13"/>
      <c r="ACB23" s="13"/>
      <c r="ACC23" s="13"/>
      <c r="ACD23" s="13"/>
      <c r="ACE23" s="13"/>
      <c r="ACF23" s="13"/>
      <c r="ACG23" s="13"/>
      <c r="ACH23" s="13"/>
      <c r="ACI23" s="13"/>
      <c r="ACJ23" s="13"/>
      <c r="ACK23" s="13"/>
      <c r="ACL23" s="13"/>
      <c r="ACM23" s="13"/>
      <c r="ACN23" s="13"/>
      <c r="ACO23" s="13"/>
      <c r="ACP23" s="13"/>
      <c r="ACQ23" s="13"/>
      <c r="ACR23" s="13"/>
      <c r="ACS23" s="13"/>
      <c r="ACT23" s="13"/>
      <c r="ACU23" s="13"/>
      <c r="ACV23" s="13"/>
      <c r="ACW23" s="13"/>
      <c r="ACX23" s="13"/>
      <c r="ACY23" s="13"/>
      <c r="ACZ23" s="13"/>
      <c r="ADA23" s="13"/>
      <c r="ADB23" s="13"/>
      <c r="ADC23" s="13"/>
      <c r="ADD23" s="13"/>
      <c r="ADE23" s="13"/>
      <c r="ADF23" s="13"/>
      <c r="ADG23" s="13"/>
      <c r="ADH23" s="13"/>
      <c r="ADI23" s="13"/>
      <c r="ADJ23" s="13"/>
      <c r="ADK23" s="13"/>
      <c r="ADL23" s="13"/>
      <c r="ADM23" s="13"/>
      <c r="ADN23" s="13"/>
      <c r="ADO23" s="13"/>
      <c r="ADP23" s="13"/>
      <c r="ADQ23" s="13"/>
      <c r="ADR23" s="13"/>
      <c r="ADS23" s="13"/>
      <c r="ADT23" s="13"/>
      <c r="ADU23" s="13"/>
      <c r="ADV23" s="13"/>
      <c r="ADW23" s="13"/>
      <c r="ADX23" s="13"/>
      <c r="ADY23" s="13"/>
      <c r="ADZ23" s="13"/>
      <c r="AEA23" s="13"/>
      <c r="AEB23" s="13"/>
      <c r="AEC23" s="13"/>
      <c r="AED23" s="13"/>
      <c r="AEE23" s="13"/>
      <c r="AEF23" s="13"/>
      <c r="AEG23" s="13"/>
      <c r="AEH23" s="13"/>
      <c r="AEI23" s="13"/>
      <c r="AEJ23" s="13"/>
      <c r="AEK23" s="13"/>
      <c r="AEL23" s="13"/>
      <c r="AEM23" s="13"/>
      <c r="AEN23" s="13"/>
      <c r="AEO23" s="13"/>
      <c r="AEP23" s="13"/>
      <c r="AEQ23" s="13"/>
      <c r="AER23" s="13"/>
      <c r="AES23" s="13"/>
      <c r="AET23" s="13"/>
      <c r="AEU23" s="13"/>
      <c r="AEV23" s="13"/>
      <c r="AEW23" s="13"/>
      <c r="AEX23" s="13"/>
      <c r="AEY23" s="13"/>
      <c r="AEZ23" s="13"/>
      <c r="AFA23" s="13"/>
      <c r="AFB23" s="13"/>
      <c r="AFC23" s="13"/>
      <c r="AFD23" s="13"/>
      <c r="AFE23" s="13"/>
      <c r="AFF23" s="13"/>
      <c r="AFG23" s="13"/>
      <c r="AFH23" s="13"/>
      <c r="AFI23" s="13"/>
      <c r="AFJ23" s="13"/>
      <c r="AFK23" s="13"/>
      <c r="AFL23" s="13"/>
      <c r="AFM23" s="13"/>
      <c r="AFN23" s="13"/>
      <c r="AFO23" s="13"/>
      <c r="AFP23" s="13"/>
      <c r="AFQ23" s="13"/>
      <c r="AFR23" s="13"/>
      <c r="AFS23" s="13"/>
      <c r="AFT23" s="13"/>
      <c r="AFU23" s="13"/>
      <c r="AFV23" s="13"/>
      <c r="AFW23" s="13"/>
      <c r="AFX23" s="13"/>
      <c r="AFY23" s="13"/>
      <c r="AFZ23" s="13"/>
      <c r="AGA23" s="13"/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  <c r="AKZ23" s="13"/>
      <c r="ALA23" s="13"/>
      <c r="ALB23" s="13"/>
      <c r="ALC23" s="13"/>
      <c r="ALD23" s="13"/>
      <c r="ALE23" s="13"/>
      <c r="ALF23" s="13"/>
      <c r="ALG23" s="13"/>
      <c r="ALH23" s="13"/>
      <c r="ALI23" s="13"/>
      <c r="ALJ23" s="13"/>
      <c r="ALK23" s="13"/>
      <c r="ALL23" s="13"/>
      <c r="ALM23" s="13"/>
      <c r="ALN23" s="13"/>
      <c r="ALO23" s="13"/>
    </row>
    <row r="24" spans="1:1012" x14ac:dyDescent="0.35">
      <c r="E24" s="73"/>
      <c r="F24" s="14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  <c r="RN24" s="13"/>
      <c r="RO24" s="13"/>
      <c r="RP24" s="13"/>
      <c r="RQ24" s="13"/>
      <c r="RR24" s="13"/>
      <c r="RS24" s="13"/>
      <c r="RT24" s="13"/>
      <c r="RU24" s="13"/>
      <c r="RV24" s="13"/>
      <c r="RW24" s="13"/>
      <c r="RX24" s="13"/>
      <c r="RY24" s="13"/>
      <c r="RZ24" s="13"/>
      <c r="SA24" s="13"/>
      <c r="SB24" s="13"/>
      <c r="SC24" s="13"/>
      <c r="SD24" s="13"/>
      <c r="SE24" s="13"/>
      <c r="SF24" s="13"/>
      <c r="SG24" s="13"/>
      <c r="SH24" s="13"/>
      <c r="SI24" s="13"/>
      <c r="SJ24" s="13"/>
      <c r="SK24" s="13"/>
      <c r="SL24" s="13"/>
      <c r="SM24" s="13"/>
      <c r="SN24" s="13"/>
      <c r="SO24" s="13"/>
      <c r="SP24" s="13"/>
      <c r="SQ24" s="13"/>
      <c r="SR24" s="13"/>
      <c r="SS24" s="13"/>
      <c r="ST24" s="13"/>
      <c r="SU24" s="13"/>
      <c r="SV24" s="13"/>
      <c r="SW24" s="13"/>
      <c r="SX24" s="13"/>
      <c r="SY24" s="13"/>
      <c r="SZ24" s="13"/>
      <c r="TA24" s="13"/>
      <c r="TB24" s="13"/>
      <c r="TC24" s="13"/>
      <c r="TD24" s="13"/>
      <c r="TE24" s="13"/>
      <c r="TF24" s="13"/>
      <c r="TG24" s="13"/>
      <c r="TH24" s="13"/>
      <c r="TI24" s="13"/>
      <c r="TJ24" s="13"/>
      <c r="TK24" s="13"/>
      <c r="TL24" s="13"/>
      <c r="TM24" s="13"/>
      <c r="TN24" s="13"/>
      <c r="TO24" s="13"/>
      <c r="TP24" s="13"/>
      <c r="TQ24" s="13"/>
      <c r="TR24" s="13"/>
      <c r="TS24" s="13"/>
      <c r="TT24" s="13"/>
      <c r="TU24" s="13"/>
      <c r="TV24" s="13"/>
      <c r="TW24" s="13"/>
      <c r="TX24" s="13"/>
      <c r="TY24" s="13"/>
      <c r="TZ24" s="13"/>
      <c r="UA24" s="13"/>
      <c r="UB24" s="13"/>
      <c r="UC24" s="13"/>
      <c r="UD24" s="13"/>
      <c r="UE24" s="13"/>
      <c r="UF24" s="13"/>
      <c r="UG24" s="13"/>
      <c r="UH24" s="13"/>
      <c r="UI24" s="13"/>
      <c r="UJ24" s="13"/>
      <c r="UK24" s="13"/>
      <c r="UL24" s="13"/>
      <c r="UM24" s="13"/>
      <c r="UN24" s="13"/>
      <c r="UO24" s="13"/>
      <c r="UP24" s="13"/>
      <c r="UQ24" s="13"/>
      <c r="UR24" s="13"/>
      <c r="US24" s="13"/>
      <c r="UT24" s="13"/>
      <c r="UU24" s="13"/>
      <c r="UV24" s="13"/>
      <c r="UW24" s="13"/>
      <c r="UX24" s="13"/>
      <c r="UY24" s="13"/>
      <c r="UZ24" s="13"/>
      <c r="VA24" s="13"/>
      <c r="VB24" s="13"/>
      <c r="VC24" s="13"/>
      <c r="VD24" s="13"/>
      <c r="VE24" s="13"/>
      <c r="VF24" s="13"/>
      <c r="VG24" s="13"/>
      <c r="VH24" s="13"/>
      <c r="VI24" s="13"/>
      <c r="VJ24" s="13"/>
      <c r="VK24" s="13"/>
      <c r="VL24" s="13"/>
      <c r="VM24" s="13"/>
      <c r="VN24" s="13"/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3"/>
      <c r="ACU24" s="13"/>
      <c r="ACV24" s="13"/>
      <c r="ACW24" s="13"/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  <c r="ADW24" s="13"/>
      <c r="ADX24" s="13"/>
      <c r="ADY24" s="13"/>
      <c r="ADZ24" s="13"/>
      <c r="AEA24" s="13"/>
      <c r="AEB24" s="13"/>
      <c r="AEC24" s="13"/>
      <c r="AED24" s="13"/>
      <c r="AEE24" s="13"/>
      <c r="AEF24" s="13"/>
      <c r="AEG24" s="13"/>
      <c r="AEH24" s="13"/>
      <c r="AEI24" s="13"/>
      <c r="AEJ24" s="13"/>
      <c r="AEK24" s="13"/>
      <c r="AEL24" s="13"/>
      <c r="AEM24" s="13"/>
      <c r="AEN24" s="13"/>
      <c r="AEO24" s="13"/>
      <c r="AEP24" s="13"/>
      <c r="AEQ24" s="13"/>
      <c r="AER24" s="13"/>
      <c r="AES24" s="13"/>
      <c r="AET24" s="13"/>
      <c r="AEU24" s="13"/>
      <c r="AEV24" s="13"/>
      <c r="AEW24" s="13"/>
      <c r="AEX24" s="13"/>
      <c r="AEY24" s="13"/>
      <c r="AEZ24" s="13"/>
      <c r="AFA24" s="13"/>
      <c r="AFB24" s="13"/>
      <c r="AFC24" s="13"/>
      <c r="AFD24" s="13"/>
      <c r="AFE24" s="13"/>
      <c r="AFF24" s="13"/>
      <c r="AFG24" s="13"/>
      <c r="AFH24" s="13"/>
      <c r="AFI24" s="13"/>
      <c r="AFJ24" s="13"/>
      <c r="AFK24" s="13"/>
      <c r="AFL24" s="13"/>
      <c r="AFM24" s="13"/>
      <c r="AFN24" s="13"/>
      <c r="AFO24" s="13"/>
      <c r="AFP24" s="13"/>
      <c r="AFQ24" s="13"/>
      <c r="AFR24" s="13"/>
      <c r="AFS24" s="13"/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3"/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  <c r="AKZ24" s="13"/>
      <c r="ALA24" s="13"/>
      <c r="ALB24" s="13"/>
      <c r="ALC24" s="13"/>
      <c r="ALD24" s="13"/>
      <c r="ALE24" s="13"/>
      <c r="ALF24" s="13"/>
      <c r="ALG24" s="13"/>
      <c r="ALH24" s="13"/>
      <c r="ALI24" s="13"/>
      <c r="ALJ24" s="13"/>
      <c r="ALK24" s="13"/>
      <c r="ALL24" s="13"/>
      <c r="ALM24" s="13"/>
      <c r="ALN24" s="13"/>
      <c r="ALO24" s="13"/>
    </row>
    <row r="25" spans="1:1012" x14ac:dyDescent="0.35">
      <c r="A25" s="1" t="s">
        <v>8</v>
      </c>
      <c r="B25" s="1"/>
      <c r="E25" s="73"/>
      <c r="F25" s="14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13"/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  <c r="RL25" s="13"/>
      <c r="RM25" s="13"/>
      <c r="RN25" s="13"/>
      <c r="RO25" s="13"/>
      <c r="RP25" s="13"/>
      <c r="RQ25" s="13"/>
      <c r="RR25" s="13"/>
      <c r="RS25" s="13"/>
      <c r="RT25" s="13"/>
      <c r="RU25" s="13"/>
      <c r="RV25" s="13"/>
      <c r="RW25" s="13"/>
      <c r="RX25" s="13"/>
      <c r="RY25" s="13"/>
      <c r="RZ25" s="13"/>
      <c r="SA25" s="13"/>
      <c r="SB25" s="13"/>
      <c r="SC25" s="13"/>
      <c r="SD25" s="13"/>
      <c r="SE25" s="13"/>
      <c r="SF25" s="13"/>
      <c r="SG25" s="13"/>
      <c r="SH25" s="13"/>
      <c r="SI25" s="13"/>
      <c r="SJ25" s="13"/>
      <c r="SK25" s="13"/>
      <c r="SL25" s="13"/>
      <c r="SM25" s="13"/>
      <c r="SN25" s="13"/>
      <c r="SO25" s="13"/>
      <c r="SP25" s="13"/>
      <c r="SQ25" s="13"/>
      <c r="SR25" s="13"/>
      <c r="SS25" s="13"/>
      <c r="ST25" s="13"/>
      <c r="SU25" s="13"/>
      <c r="SV25" s="13"/>
      <c r="SW25" s="13"/>
      <c r="SX25" s="13"/>
      <c r="SY25" s="13"/>
      <c r="SZ25" s="13"/>
      <c r="TA25" s="13"/>
      <c r="TB25" s="13"/>
      <c r="TC25" s="13"/>
      <c r="TD25" s="13"/>
      <c r="TE25" s="13"/>
      <c r="TF25" s="13"/>
      <c r="TG25" s="13"/>
      <c r="TH25" s="13"/>
      <c r="TI25" s="13"/>
      <c r="TJ25" s="13"/>
      <c r="TK25" s="13"/>
      <c r="TL25" s="13"/>
      <c r="TM25" s="13"/>
      <c r="TN25" s="13"/>
      <c r="TO25" s="13"/>
      <c r="TP25" s="13"/>
      <c r="TQ25" s="13"/>
      <c r="TR25" s="13"/>
      <c r="TS25" s="13"/>
      <c r="TT25" s="13"/>
      <c r="TU25" s="13"/>
      <c r="TV25" s="13"/>
      <c r="TW25" s="13"/>
      <c r="TX25" s="13"/>
      <c r="TY25" s="13"/>
      <c r="TZ25" s="13"/>
      <c r="UA25" s="13"/>
      <c r="UB25" s="13"/>
      <c r="UC25" s="13"/>
      <c r="UD25" s="13"/>
      <c r="UE25" s="13"/>
      <c r="UF25" s="13"/>
      <c r="UG25" s="13"/>
      <c r="UH25" s="13"/>
      <c r="UI25" s="13"/>
      <c r="UJ25" s="13"/>
      <c r="UK25" s="13"/>
      <c r="UL25" s="13"/>
      <c r="UM25" s="13"/>
      <c r="UN25" s="13"/>
      <c r="UO25" s="13"/>
      <c r="UP25" s="13"/>
      <c r="UQ25" s="13"/>
      <c r="UR25" s="13"/>
      <c r="US25" s="13"/>
      <c r="UT25" s="13"/>
      <c r="UU25" s="13"/>
      <c r="UV25" s="13"/>
      <c r="UW25" s="13"/>
      <c r="UX25" s="13"/>
      <c r="UY25" s="13"/>
      <c r="UZ25" s="13"/>
      <c r="VA25" s="13"/>
      <c r="VB25" s="13"/>
      <c r="VC25" s="13"/>
      <c r="VD25" s="13"/>
      <c r="VE25" s="13"/>
      <c r="VF25" s="13"/>
      <c r="VG25" s="13"/>
      <c r="VH25" s="13"/>
      <c r="VI25" s="13"/>
      <c r="VJ25" s="13"/>
      <c r="VK25" s="13"/>
      <c r="VL25" s="13"/>
      <c r="VM25" s="13"/>
      <c r="VN25" s="13"/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  <c r="ADW25" s="13"/>
      <c r="ADX25" s="13"/>
      <c r="ADY25" s="13"/>
      <c r="ADZ25" s="13"/>
      <c r="AEA25" s="13"/>
      <c r="AEB25" s="13"/>
      <c r="AEC25" s="13"/>
      <c r="AED25" s="13"/>
      <c r="AEE25" s="13"/>
      <c r="AEF25" s="13"/>
      <c r="AEG25" s="13"/>
      <c r="AEH25" s="13"/>
      <c r="AEI25" s="13"/>
      <c r="AEJ25" s="13"/>
      <c r="AEK25" s="13"/>
      <c r="AEL25" s="13"/>
      <c r="AEM25" s="13"/>
      <c r="AEN25" s="13"/>
      <c r="AEO25" s="13"/>
      <c r="AEP25" s="13"/>
      <c r="AEQ25" s="13"/>
      <c r="AER25" s="13"/>
      <c r="AES25" s="13"/>
      <c r="AET25" s="13"/>
      <c r="AEU25" s="13"/>
      <c r="AEV25" s="13"/>
      <c r="AEW25" s="13"/>
      <c r="AEX25" s="13"/>
      <c r="AEY25" s="13"/>
      <c r="AEZ25" s="13"/>
      <c r="AFA25" s="13"/>
      <c r="AFB25" s="13"/>
      <c r="AFC25" s="13"/>
      <c r="AFD25" s="13"/>
      <c r="AFE25" s="13"/>
      <c r="AFF25" s="13"/>
      <c r="AFG25" s="13"/>
      <c r="AFH25" s="13"/>
      <c r="AFI25" s="13"/>
      <c r="AFJ25" s="13"/>
      <c r="AFK25" s="13"/>
      <c r="AFL25" s="13"/>
      <c r="AFM25" s="13"/>
      <c r="AFN25" s="13"/>
      <c r="AFO25" s="13"/>
      <c r="AFP25" s="13"/>
      <c r="AFQ25" s="13"/>
      <c r="AFR25" s="13"/>
      <c r="AFS25" s="13"/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  <c r="AKZ25" s="13"/>
      <c r="ALA25" s="13"/>
      <c r="ALB25" s="13"/>
      <c r="ALC25" s="13"/>
      <c r="ALD25" s="13"/>
      <c r="ALE25" s="13"/>
      <c r="ALF25" s="13"/>
      <c r="ALG25" s="13"/>
      <c r="ALH25" s="13"/>
      <c r="ALI25" s="13"/>
      <c r="ALJ25" s="13"/>
      <c r="ALK25" s="13"/>
      <c r="ALL25" s="13"/>
      <c r="ALM25" s="13"/>
      <c r="ALN25" s="13"/>
      <c r="ALO25" s="13"/>
    </row>
    <row r="26" spans="1:1012" x14ac:dyDescent="0.35">
      <c r="A26" s="146" t="s">
        <v>104</v>
      </c>
      <c r="C26" s="3">
        <v>11</v>
      </c>
      <c r="D26" s="3"/>
      <c r="E26" s="73">
        <f>+'P11'!J24</f>
        <v>55750</v>
      </c>
      <c r="F26" s="14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13"/>
      <c r="QL26" s="13"/>
      <c r="QM26" s="13"/>
      <c r="QN26" s="13"/>
      <c r="QO26" s="13"/>
      <c r="QP26" s="13"/>
      <c r="QQ26" s="13"/>
      <c r="QR26" s="13"/>
      <c r="QS26" s="13"/>
      <c r="QT26" s="13"/>
      <c r="QU26" s="13"/>
      <c r="QV26" s="13"/>
      <c r="QW26" s="13"/>
      <c r="QX26" s="13"/>
      <c r="QY26" s="13"/>
      <c r="QZ26" s="13"/>
      <c r="RA26" s="13"/>
      <c r="RB26" s="13"/>
      <c r="RC26" s="13"/>
      <c r="RD26" s="13"/>
      <c r="RE26" s="13"/>
      <c r="RF26" s="13"/>
      <c r="RG26" s="13"/>
      <c r="RH26" s="13"/>
      <c r="RI26" s="13"/>
      <c r="RJ26" s="13"/>
      <c r="RK26" s="13"/>
      <c r="RL26" s="13"/>
      <c r="RM26" s="13"/>
      <c r="RN26" s="13"/>
      <c r="RO26" s="13"/>
      <c r="RP26" s="13"/>
      <c r="RQ26" s="13"/>
      <c r="RR26" s="13"/>
      <c r="RS26" s="13"/>
      <c r="RT26" s="13"/>
      <c r="RU26" s="13"/>
      <c r="RV26" s="13"/>
      <c r="RW26" s="13"/>
      <c r="RX26" s="13"/>
      <c r="RY26" s="13"/>
      <c r="RZ26" s="13"/>
      <c r="SA26" s="13"/>
      <c r="SB26" s="13"/>
      <c r="SC26" s="13"/>
      <c r="SD26" s="13"/>
      <c r="SE26" s="13"/>
      <c r="SF26" s="13"/>
      <c r="SG26" s="13"/>
      <c r="SH26" s="13"/>
      <c r="SI26" s="13"/>
      <c r="SJ26" s="13"/>
      <c r="SK26" s="13"/>
      <c r="SL26" s="13"/>
      <c r="SM26" s="13"/>
      <c r="SN26" s="13"/>
      <c r="SO26" s="13"/>
      <c r="SP26" s="13"/>
      <c r="SQ26" s="13"/>
      <c r="SR26" s="13"/>
      <c r="SS26" s="13"/>
      <c r="ST26" s="13"/>
      <c r="SU26" s="13"/>
      <c r="SV26" s="13"/>
      <c r="SW26" s="13"/>
      <c r="SX26" s="13"/>
      <c r="SY26" s="13"/>
      <c r="SZ26" s="13"/>
      <c r="TA26" s="13"/>
      <c r="TB26" s="13"/>
      <c r="TC26" s="13"/>
      <c r="TD26" s="13"/>
      <c r="TE26" s="13"/>
      <c r="TF26" s="13"/>
      <c r="TG26" s="13"/>
      <c r="TH26" s="13"/>
      <c r="TI26" s="13"/>
      <c r="TJ26" s="13"/>
      <c r="TK26" s="13"/>
      <c r="TL26" s="13"/>
      <c r="TM26" s="13"/>
      <c r="TN26" s="13"/>
      <c r="TO26" s="13"/>
      <c r="TP26" s="13"/>
      <c r="TQ26" s="13"/>
      <c r="TR26" s="13"/>
      <c r="TS26" s="13"/>
      <c r="TT26" s="13"/>
      <c r="TU26" s="13"/>
      <c r="TV26" s="13"/>
      <c r="TW26" s="13"/>
      <c r="TX26" s="13"/>
      <c r="TY26" s="13"/>
      <c r="TZ26" s="13"/>
      <c r="UA26" s="13"/>
      <c r="UB26" s="13"/>
      <c r="UC26" s="13"/>
      <c r="UD26" s="13"/>
      <c r="UE26" s="13"/>
      <c r="UF26" s="13"/>
      <c r="UG26" s="13"/>
      <c r="UH26" s="13"/>
      <c r="UI26" s="13"/>
      <c r="UJ26" s="13"/>
      <c r="UK26" s="13"/>
      <c r="UL26" s="13"/>
      <c r="UM26" s="13"/>
      <c r="UN26" s="13"/>
      <c r="UO26" s="13"/>
      <c r="UP26" s="13"/>
      <c r="UQ26" s="13"/>
      <c r="UR26" s="13"/>
      <c r="US26" s="13"/>
      <c r="UT26" s="13"/>
      <c r="UU26" s="13"/>
      <c r="UV26" s="13"/>
      <c r="UW26" s="13"/>
      <c r="UX26" s="13"/>
      <c r="UY26" s="13"/>
      <c r="UZ26" s="13"/>
      <c r="VA26" s="13"/>
      <c r="VB26" s="13"/>
      <c r="VC26" s="13"/>
      <c r="VD26" s="13"/>
      <c r="VE26" s="13"/>
      <c r="VF26" s="13"/>
      <c r="VG26" s="13"/>
      <c r="VH26" s="13"/>
      <c r="VI26" s="13"/>
      <c r="VJ26" s="13"/>
      <c r="VK26" s="13"/>
      <c r="VL26" s="13"/>
      <c r="VM26" s="13"/>
      <c r="VN26" s="13"/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  <c r="AAM26" s="13"/>
      <c r="AAN26" s="13"/>
      <c r="AAO26" s="13"/>
      <c r="AAP26" s="13"/>
      <c r="AAQ26" s="13"/>
      <c r="AAR26" s="13"/>
      <c r="AAS26" s="13"/>
      <c r="AAT26" s="13"/>
      <c r="AAU26" s="13"/>
      <c r="AAV26" s="13"/>
      <c r="AAW26" s="13"/>
      <c r="AAX26" s="13"/>
      <c r="AAY26" s="13"/>
      <c r="AAZ26" s="13"/>
      <c r="ABA26" s="13"/>
      <c r="ABB26" s="13"/>
      <c r="ABC26" s="13"/>
      <c r="ABD26" s="13"/>
      <c r="ABE26" s="13"/>
      <c r="ABF26" s="13"/>
      <c r="ABG26" s="13"/>
      <c r="ABH26" s="13"/>
      <c r="ABI26" s="13"/>
      <c r="ABJ26" s="13"/>
      <c r="ABK26" s="13"/>
      <c r="ABL26" s="13"/>
      <c r="ABM26" s="13"/>
      <c r="ABN26" s="13"/>
      <c r="ABO26" s="13"/>
      <c r="ABP26" s="13"/>
      <c r="ABQ26" s="13"/>
      <c r="ABR26" s="13"/>
      <c r="ABS26" s="13"/>
      <c r="ABT26" s="13"/>
      <c r="ABU26" s="13"/>
      <c r="ABV26" s="13"/>
      <c r="ABW26" s="13"/>
      <c r="ABX26" s="13"/>
      <c r="ABY26" s="13"/>
      <c r="ABZ26" s="13"/>
      <c r="ACA26" s="13"/>
      <c r="ACB26" s="13"/>
      <c r="ACC26" s="13"/>
      <c r="ACD26" s="13"/>
      <c r="ACE26" s="13"/>
      <c r="ACF26" s="13"/>
      <c r="ACG26" s="13"/>
      <c r="ACH26" s="13"/>
      <c r="ACI26" s="13"/>
      <c r="ACJ26" s="13"/>
      <c r="ACK26" s="13"/>
      <c r="ACL26" s="13"/>
      <c r="ACM26" s="13"/>
      <c r="ACN26" s="13"/>
      <c r="ACO26" s="13"/>
      <c r="ACP26" s="13"/>
      <c r="ACQ26" s="13"/>
      <c r="ACR26" s="13"/>
      <c r="ACS26" s="13"/>
      <c r="ACT26" s="13"/>
      <c r="ACU26" s="13"/>
      <c r="ACV26" s="13"/>
      <c r="ACW26" s="13"/>
      <c r="ACX26" s="13"/>
      <c r="ACY26" s="13"/>
      <c r="ACZ26" s="13"/>
      <c r="ADA26" s="13"/>
      <c r="ADB26" s="13"/>
      <c r="ADC26" s="13"/>
      <c r="ADD26" s="13"/>
      <c r="ADE26" s="13"/>
      <c r="ADF26" s="13"/>
      <c r="ADG26" s="13"/>
      <c r="ADH26" s="13"/>
      <c r="ADI26" s="13"/>
      <c r="ADJ26" s="13"/>
      <c r="ADK26" s="13"/>
      <c r="ADL26" s="13"/>
      <c r="ADM26" s="13"/>
      <c r="ADN26" s="13"/>
      <c r="ADO26" s="13"/>
      <c r="ADP26" s="13"/>
      <c r="ADQ26" s="13"/>
      <c r="ADR26" s="13"/>
      <c r="ADS26" s="13"/>
      <c r="ADT26" s="13"/>
      <c r="ADU26" s="13"/>
      <c r="ADV26" s="13"/>
      <c r="ADW26" s="13"/>
      <c r="ADX26" s="13"/>
      <c r="ADY26" s="13"/>
      <c r="ADZ26" s="13"/>
      <c r="AEA26" s="13"/>
      <c r="AEB26" s="13"/>
      <c r="AEC26" s="13"/>
      <c r="AED26" s="13"/>
      <c r="AEE26" s="13"/>
      <c r="AEF26" s="13"/>
      <c r="AEG26" s="13"/>
      <c r="AEH26" s="13"/>
      <c r="AEI26" s="13"/>
      <c r="AEJ26" s="13"/>
      <c r="AEK26" s="13"/>
      <c r="AEL26" s="13"/>
      <c r="AEM26" s="13"/>
      <c r="AEN26" s="13"/>
      <c r="AEO26" s="13"/>
      <c r="AEP26" s="13"/>
      <c r="AEQ26" s="13"/>
      <c r="AER26" s="13"/>
      <c r="AES26" s="13"/>
      <c r="AET26" s="13"/>
      <c r="AEU26" s="13"/>
      <c r="AEV26" s="13"/>
      <c r="AEW26" s="13"/>
      <c r="AEX26" s="13"/>
      <c r="AEY26" s="13"/>
      <c r="AEZ26" s="13"/>
      <c r="AFA26" s="13"/>
      <c r="AFB26" s="13"/>
      <c r="AFC26" s="13"/>
      <c r="AFD26" s="13"/>
      <c r="AFE26" s="13"/>
      <c r="AFF26" s="13"/>
      <c r="AFG26" s="13"/>
      <c r="AFH26" s="13"/>
      <c r="AFI26" s="13"/>
      <c r="AFJ26" s="13"/>
      <c r="AFK26" s="13"/>
      <c r="AFL26" s="13"/>
      <c r="AFM26" s="13"/>
      <c r="AFN26" s="13"/>
      <c r="AFO26" s="13"/>
      <c r="AFP26" s="13"/>
      <c r="AFQ26" s="13"/>
      <c r="AFR26" s="13"/>
      <c r="AFS26" s="13"/>
      <c r="AFT26" s="13"/>
      <c r="AFU26" s="13"/>
      <c r="AFV26" s="13"/>
      <c r="AFW26" s="13"/>
      <c r="AFX26" s="13"/>
      <c r="AFY26" s="13"/>
      <c r="AFZ26" s="13"/>
      <c r="AGA26" s="13"/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/>
      <c r="AGX26" s="13"/>
      <c r="AGY26" s="13"/>
      <c r="AGZ26" s="13"/>
      <c r="AHA26" s="13"/>
      <c r="AHB26" s="13"/>
      <c r="AHC26" s="13"/>
      <c r="AHD26" s="13"/>
      <c r="AHE26" s="13"/>
      <c r="AHF26" s="13"/>
      <c r="AHG26" s="13"/>
      <c r="AHH26" s="13"/>
      <c r="AHI26" s="13"/>
      <c r="AHJ26" s="13"/>
      <c r="AHK26" s="13"/>
      <c r="AHL26" s="13"/>
      <c r="AHM26" s="13"/>
      <c r="AHN26" s="13"/>
      <c r="AHO26" s="13"/>
      <c r="AHP26" s="13"/>
      <c r="AHQ26" s="13"/>
      <c r="AHR26" s="13"/>
      <c r="AHS26" s="13"/>
      <c r="AHT26" s="13"/>
      <c r="AHU26" s="13"/>
      <c r="AHV26" s="13"/>
      <c r="AHW26" s="13"/>
      <c r="AHX26" s="13"/>
      <c r="AHY26" s="13"/>
      <c r="AHZ26" s="13"/>
      <c r="AIA26" s="13"/>
      <c r="AIB26" s="13"/>
      <c r="AIC26" s="13"/>
      <c r="AID26" s="13"/>
      <c r="AIE26" s="13"/>
      <c r="AIF26" s="13"/>
      <c r="AIG26" s="13"/>
      <c r="AIH26" s="13"/>
      <c r="AII26" s="13"/>
      <c r="AIJ26" s="13"/>
      <c r="AIK26" s="13"/>
      <c r="AIL26" s="13"/>
      <c r="AIM26" s="13"/>
      <c r="AIN26" s="13"/>
      <c r="AIO26" s="13"/>
      <c r="AIP26" s="13"/>
      <c r="AIQ26" s="13"/>
      <c r="AIR26" s="13"/>
      <c r="AIS26" s="13"/>
      <c r="AIT26" s="13"/>
      <c r="AIU26" s="13"/>
      <c r="AIV26" s="13"/>
      <c r="AIW26" s="13"/>
      <c r="AIX26" s="13"/>
      <c r="AIY26" s="13"/>
      <c r="AIZ26" s="13"/>
      <c r="AJA26" s="13"/>
      <c r="AJB26" s="13"/>
      <c r="AJC26" s="13"/>
      <c r="AJD26" s="13"/>
      <c r="AJE26" s="13"/>
      <c r="AJF26" s="13"/>
      <c r="AJG26" s="13"/>
      <c r="AJH26" s="13"/>
      <c r="AJI26" s="13"/>
      <c r="AJJ26" s="13"/>
      <c r="AJK26" s="13"/>
      <c r="AJL26" s="13"/>
      <c r="AJM26" s="13"/>
      <c r="AJN26" s="13"/>
      <c r="AJO26" s="13"/>
      <c r="AJP26" s="13"/>
      <c r="AJQ26" s="13"/>
      <c r="AJR26" s="13"/>
      <c r="AJS26" s="13"/>
      <c r="AJT26" s="13"/>
      <c r="AJU26" s="13"/>
      <c r="AJV26" s="13"/>
      <c r="AJW26" s="13"/>
      <c r="AJX26" s="13"/>
      <c r="AJY26" s="13"/>
      <c r="AJZ26" s="13"/>
      <c r="AKA26" s="13"/>
      <c r="AKB26" s="13"/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  <c r="AKR26" s="13"/>
      <c r="AKS26" s="13"/>
      <c r="AKT26" s="13"/>
      <c r="AKU26" s="13"/>
      <c r="AKV26" s="13"/>
      <c r="AKW26" s="13"/>
      <c r="AKX26" s="13"/>
      <c r="AKY26" s="13"/>
      <c r="AKZ26" s="13"/>
      <c r="ALA26" s="13"/>
      <c r="ALB26" s="13"/>
      <c r="ALC26" s="13"/>
      <c r="ALD26" s="13"/>
      <c r="ALE26" s="13"/>
      <c r="ALF26" s="13"/>
      <c r="ALG26" s="13"/>
      <c r="ALH26" s="13"/>
      <c r="ALI26" s="13"/>
      <c r="ALJ26" s="13"/>
      <c r="ALK26" s="13"/>
      <c r="ALL26" s="13"/>
      <c r="ALM26" s="13"/>
      <c r="ALN26" s="13"/>
      <c r="ALO26" s="13"/>
    </row>
    <row r="27" spans="1:1012" x14ac:dyDescent="0.35">
      <c r="A27" s="146" t="s">
        <v>38</v>
      </c>
      <c r="B27" s="147"/>
      <c r="E27" s="73">
        <f>TB!C15</f>
        <v>1000000</v>
      </c>
      <c r="F27" s="14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  <c r="QA27" s="13"/>
      <c r="QB27" s="13"/>
      <c r="QC27" s="13"/>
      <c r="QD27" s="13"/>
      <c r="QE27" s="13"/>
      <c r="QF27" s="13"/>
      <c r="QG27" s="13"/>
      <c r="QH27" s="13"/>
      <c r="QI27" s="13"/>
      <c r="QJ27" s="13"/>
      <c r="QK27" s="13"/>
      <c r="QL27" s="13"/>
      <c r="QM27" s="13"/>
      <c r="QN27" s="13"/>
      <c r="QO27" s="13"/>
      <c r="QP27" s="13"/>
      <c r="QQ27" s="13"/>
      <c r="QR27" s="13"/>
      <c r="QS27" s="13"/>
      <c r="QT27" s="13"/>
      <c r="QU27" s="13"/>
      <c r="QV27" s="13"/>
      <c r="QW27" s="13"/>
      <c r="QX27" s="13"/>
      <c r="QY27" s="13"/>
      <c r="QZ27" s="13"/>
      <c r="RA27" s="13"/>
      <c r="RB27" s="13"/>
      <c r="RC27" s="13"/>
      <c r="RD27" s="13"/>
      <c r="RE27" s="13"/>
      <c r="RF27" s="13"/>
      <c r="RG27" s="13"/>
      <c r="RH27" s="13"/>
      <c r="RI27" s="13"/>
      <c r="RJ27" s="13"/>
      <c r="RK27" s="13"/>
      <c r="RL27" s="13"/>
      <c r="RM27" s="13"/>
      <c r="RN27" s="13"/>
      <c r="RO27" s="13"/>
      <c r="RP27" s="13"/>
      <c r="RQ27" s="13"/>
      <c r="RR27" s="13"/>
      <c r="RS27" s="13"/>
      <c r="RT27" s="13"/>
      <c r="RU27" s="13"/>
      <c r="RV27" s="13"/>
      <c r="RW27" s="13"/>
      <c r="RX27" s="13"/>
      <c r="RY27" s="13"/>
      <c r="RZ27" s="13"/>
      <c r="SA27" s="13"/>
      <c r="SB27" s="13"/>
      <c r="SC27" s="13"/>
      <c r="SD27" s="13"/>
      <c r="SE27" s="13"/>
      <c r="SF27" s="13"/>
      <c r="SG27" s="13"/>
      <c r="SH27" s="13"/>
      <c r="SI27" s="13"/>
      <c r="SJ27" s="13"/>
      <c r="SK27" s="13"/>
      <c r="SL27" s="13"/>
      <c r="SM27" s="13"/>
      <c r="SN27" s="13"/>
      <c r="SO27" s="13"/>
      <c r="SP27" s="13"/>
      <c r="SQ27" s="13"/>
      <c r="SR27" s="13"/>
      <c r="SS27" s="13"/>
      <c r="ST27" s="13"/>
      <c r="SU27" s="13"/>
      <c r="SV27" s="13"/>
      <c r="SW27" s="13"/>
      <c r="SX27" s="13"/>
      <c r="SY27" s="13"/>
      <c r="SZ27" s="13"/>
      <c r="TA27" s="13"/>
      <c r="TB27" s="13"/>
      <c r="TC27" s="13"/>
      <c r="TD27" s="13"/>
      <c r="TE27" s="13"/>
      <c r="TF27" s="13"/>
      <c r="TG27" s="13"/>
      <c r="TH27" s="13"/>
      <c r="TI27" s="13"/>
      <c r="TJ27" s="13"/>
      <c r="TK27" s="13"/>
      <c r="TL27" s="13"/>
      <c r="TM27" s="13"/>
      <c r="TN27" s="13"/>
      <c r="TO27" s="13"/>
      <c r="TP27" s="13"/>
      <c r="TQ27" s="13"/>
      <c r="TR27" s="13"/>
      <c r="TS27" s="13"/>
      <c r="TT27" s="13"/>
      <c r="TU27" s="13"/>
      <c r="TV27" s="13"/>
      <c r="TW27" s="13"/>
      <c r="TX27" s="13"/>
      <c r="TY27" s="13"/>
      <c r="TZ27" s="13"/>
      <c r="UA27" s="13"/>
      <c r="UB27" s="13"/>
      <c r="UC27" s="13"/>
      <c r="UD27" s="13"/>
      <c r="UE27" s="13"/>
      <c r="UF27" s="13"/>
      <c r="UG27" s="13"/>
      <c r="UH27" s="13"/>
      <c r="UI27" s="13"/>
      <c r="UJ27" s="13"/>
      <c r="UK27" s="13"/>
      <c r="UL27" s="13"/>
      <c r="UM27" s="13"/>
      <c r="UN27" s="13"/>
      <c r="UO27" s="13"/>
      <c r="UP27" s="13"/>
      <c r="UQ27" s="13"/>
      <c r="UR27" s="13"/>
      <c r="US27" s="13"/>
      <c r="UT27" s="13"/>
      <c r="UU27" s="13"/>
      <c r="UV27" s="13"/>
      <c r="UW27" s="13"/>
      <c r="UX27" s="13"/>
      <c r="UY27" s="13"/>
      <c r="UZ27" s="13"/>
      <c r="VA27" s="13"/>
      <c r="VB27" s="13"/>
      <c r="VC27" s="13"/>
      <c r="VD27" s="13"/>
      <c r="VE27" s="13"/>
      <c r="VF27" s="13"/>
      <c r="VG27" s="13"/>
      <c r="VH27" s="13"/>
      <c r="VI27" s="13"/>
      <c r="VJ27" s="13"/>
      <c r="VK27" s="13"/>
      <c r="VL27" s="13"/>
      <c r="VM27" s="13"/>
      <c r="VN27" s="13"/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  <c r="AAM27" s="13"/>
      <c r="AAN27" s="13"/>
      <c r="AAO27" s="13"/>
      <c r="AAP27" s="13"/>
      <c r="AAQ27" s="13"/>
      <c r="AAR27" s="13"/>
      <c r="AAS27" s="13"/>
      <c r="AAT27" s="13"/>
      <c r="AAU27" s="13"/>
      <c r="AAV27" s="13"/>
      <c r="AAW27" s="13"/>
      <c r="AAX27" s="13"/>
      <c r="AAY27" s="13"/>
      <c r="AAZ27" s="13"/>
      <c r="ABA27" s="13"/>
      <c r="ABB27" s="13"/>
      <c r="ABC27" s="13"/>
      <c r="ABD27" s="13"/>
      <c r="ABE27" s="13"/>
      <c r="ABF27" s="13"/>
      <c r="ABG27" s="13"/>
      <c r="ABH27" s="13"/>
      <c r="ABI27" s="13"/>
      <c r="ABJ27" s="13"/>
      <c r="ABK27" s="13"/>
      <c r="ABL27" s="13"/>
      <c r="ABM27" s="13"/>
      <c r="ABN27" s="13"/>
      <c r="ABO27" s="13"/>
      <c r="ABP27" s="13"/>
      <c r="ABQ27" s="13"/>
      <c r="ABR27" s="13"/>
      <c r="ABS27" s="13"/>
      <c r="ABT27" s="13"/>
      <c r="ABU27" s="13"/>
      <c r="ABV27" s="13"/>
      <c r="ABW27" s="13"/>
      <c r="ABX27" s="13"/>
      <c r="ABY27" s="13"/>
      <c r="ABZ27" s="13"/>
      <c r="ACA27" s="13"/>
      <c r="ACB27" s="13"/>
      <c r="ACC27" s="13"/>
      <c r="ACD27" s="13"/>
      <c r="ACE27" s="13"/>
      <c r="ACF27" s="13"/>
      <c r="ACG27" s="13"/>
      <c r="ACH27" s="13"/>
      <c r="ACI27" s="13"/>
      <c r="ACJ27" s="13"/>
      <c r="ACK27" s="13"/>
      <c r="ACL27" s="13"/>
      <c r="ACM27" s="13"/>
      <c r="ACN27" s="13"/>
      <c r="ACO27" s="13"/>
      <c r="ACP27" s="13"/>
      <c r="ACQ27" s="13"/>
      <c r="ACR27" s="13"/>
      <c r="ACS27" s="13"/>
      <c r="ACT27" s="13"/>
      <c r="ACU27" s="13"/>
      <c r="ACV27" s="13"/>
      <c r="ACW27" s="13"/>
      <c r="ACX27" s="13"/>
      <c r="ACY27" s="13"/>
      <c r="ACZ27" s="13"/>
      <c r="ADA27" s="13"/>
      <c r="ADB27" s="13"/>
      <c r="ADC27" s="13"/>
      <c r="ADD27" s="13"/>
      <c r="ADE27" s="13"/>
      <c r="ADF27" s="13"/>
      <c r="ADG27" s="13"/>
      <c r="ADH27" s="13"/>
      <c r="ADI27" s="13"/>
      <c r="ADJ27" s="13"/>
      <c r="ADK27" s="13"/>
      <c r="ADL27" s="13"/>
      <c r="ADM27" s="13"/>
      <c r="ADN27" s="13"/>
      <c r="ADO27" s="13"/>
      <c r="ADP27" s="13"/>
      <c r="ADQ27" s="13"/>
      <c r="ADR27" s="13"/>
      <c r="ADS27" s="13"/>
      <c r="ADT27" s="13"/>
      <c r="ADU27" s="13"/>
      <c r="ADV27" s="13"/>
      <c r="ADW27" s="13"/>
      <c r="ADX27" s="13"/>
      <c r="ADY27" s="13"/>
      <c r="ADZ27" s="13"/>
      <c r="AEA27" s="13"/>
      <c r="AEB27" s="13"/>
      <c r="AEC27" s="13"/>
      <c r="AED27" s="13"/>
      <c r="AEE27" s="13"/>
      <c r="AEF27" s="13"/>
      <c r="AEG27" s="13"/>
      <c r="AEH27" s="13"/>
      <c r="AEI27" s="13"/>
      <c r="AEJ27" s="13"/>
      <c r="AEK27" s="13"/>
      <c r="AEL27" s="13"/>
      <c r="AEM27" s="13"/>
      <c r="AEN27" s="13"/>
      <c r="AEO27" s="13"/>
      <c r="AEP27" s="13"/>
      <c r="AEQ27" s="13"/>
      <c r="AER27" s="13"/>
      <c r="AES27" s="13"/>
      <c r="AET27" s="13"/>
      <c r="AEU27" s="13"/>
      <c r="AEV27" s="13"/>
      <c r="AEW27" s="13"/>
      <c r="AEX27" s="13"/>
      <c r="AEY27" s="13"/>
      <c r="AEZ27" s="13"/>
      <c r="AFA27" s="13"/>
      <c r="AFB27" s="13"/>
      <c r="AFC27" s="13"/>
      <c r="AFD27" s="13"/>
      <c r="AFE27" s="13"/>
      <c r="AFF27" s="13"/>
      <c r="AFG27" s="13"/>
      <c r="AFH27" s="13"/>
      <c r="AFI27" s="13"/>
      <c r="AFJ27" s="13"/>
      <c r="AFK27" s="13"/>
      <c r="AFL27" s="13"/>
      <c r="AFM27" s="13"/>
      <c r="AFN27" s="13"/>
      <c r="AFO27" s="13"/>
      <c r="AFP27" s="13"/>
      <c r="AFQ27" s="13"/>
      <c r="AFR27" s="13"/>
      <c r="AFS27" s="13"/>
      <c r="AFT27" s="13"/>
      <c r="AFU27" s="13"/>
      <c r="AFV27" s="13"/>
      <c r="AFW27" s="13"/>
      <c r="AFX27" s="13"/>
      <c r="AFY27" s="13"/>
      <c r="AFZ27" s="13"/>
      <c r="AGA27" s="13"/>
      <c r="AGB27" s="13"/>
      <c r="AGC27" s="13"/>
      <c r="AGD27" s="13"/>
      <c r="AGE27" s="13"/>
      <c r="AGF27" s="13"/>
      <c r="AGG27" s="13"/>
      <c r="AGH27" s="13"/>
      <c r="AGI27" s="13"/>
      <c r="AGJ27" s="13"/>
      <c r="AGK27" s="13"/>
      <c r="AGL27" s="13"/>
      <c r="AGM27" s="13"/>
      <c r="AGN27" s="13"/>
      <c r="AGO27" s="13"/>
      <c r="AGP27" s="13"/>
      <c r="AGQ27" s="13"/>
      <c r="AGR27" s="13"/>
      <c r="AGS27" s="13"/>
      <c r="AGT27" s="13"/>
      <c r="AGU27" s="13"/>
      <c r="AGV27" s="13"/>
      <c r="AGW27" s="13"/>
      <c r="AGX27" s="13"/>
      <c r="AGY27" s="13"/>
      <c r="AGZ27" s="13"/>
      <c r="AHA27" s="13"/>
      <c r="AHB27" s="13"/>
      <c r="AHC27" s="13"/>
      <c r="AHD27" s="13"/>
      <c r="AHE27" s="13"/>
      <c r="AHF27" s="13"/>
      <c r="AHG27" s="13"/>
      <c r="AHH27" s="13"/>
      <c r="AHI27" s="13"/>
      <c r="AHJ27" s="13"/>
      <c r="AHK27" s="13"/>
      <c r="AHL27" s="13"/>
      <c r="AHM27" s="13"/>
      <c r="AHN27" s="13"/>
      <c r="AHO27" s="13"/>
      <c r="AHP27" s="13"/>
      <c r="AHQ27" s="13"/>
      <c r="AHR27" s="13"/>
      <c r="AHS27" s="13"/>
      <c r="AHT27" s="13"/>
      <c r="AHU27" s="13"/>
      <c r="AHV27" s="13"/>
      <c r="AHW27" s="13"/>
      <c r="AHX27" s="13"/>
      <c r="AHY27" s="13"/>
      <c r="AHZ27" s="13"/>
      <c r="AIA27" s="13"/>
      <c r="AIB27" s="13"/>
      <c r="AIC27" s="13"/>
      <c r="AID27" s="13"/>
      <c r="AIE27" s="13"/>
      <c r="AIF27" s="13"/>
      <c r="AIG27" s="13"/>
      <c r="AIH27" s="13"/>
      <c r="AII27" s="13"/>
      <c r="AIJ27" s="13"/>
      <c r="AIK27" s="13"/>
      <c r="AIL27" s="13"/>
      <c r="AIM27" s="13"/>
      <c r="AIN27" s="13"/>
      <c r="AIO27" s="13"/>
      <c r="AIP27" s="13"/>
      <c r="AIQ27" s="13"/>
      <c r="AIR27" s="13"/>
      <c r="AIS27" s="13"/>
      <c r="AIT27" s="13"/>
      <c r="AIU27" s="13"/>
      <c r="AIV27" s="13"/>
      <c r="AIW27" s="13"/>
      <c r="AIX27" s="13"/>
      <c r="AIY27" s="13"/>
      <c r="AIZ27" s="13"/>
      <c r="AJA27" s="13"/>
      <c r="AJB27" s="13"/>
      <c r="AJC27" s="13"/>
      <c r="AJD27" s="13"/>
      <c r="AJE27" s="13"/>
      <c r="AJF27" s="13"/>
      <c r="AJG27" s="13"/>
      <c r="AJH27" s="13"/>
      <c r="AJI27" s="13"/>
      <c r="AJJ27" s="13"/>
      <c r="AJK27" s="13"/>
      <c r="AJL27" s="13"/>
      <c r="AJM27" s="13"/>
      <c r="AJN27" s="13"/>
      <c r="AJO27" s="13"/>
      <c r="AJP27" s="13"/>
      <c r="AJQ27" s="13"/>
      <c r="AJR27" s="13"/>
      <c r="AJS27" s="13"/>
      <c r="AJT27" s="13"/>
      <c r="AJU27" s="13"/>
      <c r="AJV27" s="13"/>
      <c r="AJW27" s="13"/>
      <c r="AJX27" s="13"/>
      <c r="AJY27" s="13"/>
      <c r="AJZ27" s="13"/>
      <c r="AKA27" s="13"/>
      <c r="AKB27" s="13"/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  <c r="AKR27" s="13"/>
      <c r="AKS27" s="13"/>
      <c r="AKT27" s="13"/>
      <c r="AKU27" s="13"/>
      <c r="AKV27" s="13"/>
      <c r="AKW27" s="13"/>
      <c r="AKX27" s="13"/>
      <c r="AKY27" s="13"/>
      <c r="AKZ27" s="13"/>
      <c r="ALA27" s="13"/>
      <c r="ALB27" s="13"/>
      <c r="ALC27" s="13"/>
      <c r="ALD27" s="13"/>
      <c r="ALE27" s="13"/>
      <c r="ALF27" s="13"/>
      <c r="ALG27" s="13"/>
      <c r="ALH27" s="13"/>
      <c r="ALI27" s="13"/>
      <c r="ALJ27" s="13"/>
      <c r="ALK27" s="13"/>
      <c r="ALL27" s="13"/>
      <c r="ALM27" s="13"/>
      <c r="ALN27" s="13"/>
      <c r="ALO27" s="13"/>
    </row>
    <row r="28" spans="1:1012" x14ac:dyDescent="0.35">
      <c r="A28" s="148" t="s">
        <v>41</v>
      </c>
      <c r="E28" s="126">
        <f>SUM(E26:E27)</f>
        <v>1055750</v>
      </c>
      <c r="F28" s="14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  <c r="QA28" s="13"/>
      <c r="QB28" s="13"/>
      <c r="QC28" s="13"/>
      <c r="QD28" s="13"/>
      <c r="QE28" s="13"/>
      <c r="QF28" s="13"/>
      <c r="QG28" s="13"/>
      <c r="QH28" s="13"/>
      <c r="QI28" s="13"/>
      <c r="QJ28" s="13"/>
      <c r="QK28" s="13"/>
      <c r="QL28" s="13"/>
      <c r="QM28" s="13"/>
      <c r="QN28" s="13"/>
      <c r="QO28" s="13"/>
      <c r="QP28" s="13"/>
      <c r="QQ28" s="13"/>
      <c r="QR28" s="13"/>
      <c r="QS28" s="13"/>
      <c r="QT28" s="13"/>
      <c r="QU28" s="13"/>
      <c r="QV28" s="13"/>
      <c r="QW28" s="13"/>
      <c r="QX28" s="13"/>
      <c r="QY28" s="13"/>
      <c r="QZ28" s="13"/>
      <c r="RA28" s="13"/>
      <c r="RB28" s="13"/>
      <c r="RC28" s="13"/>
      <c r="RD28" s="13"/>
      <c r="RE28" s="13"/>
      <c r="RF28" s="13"/>
      <c r="RG28" s="13"/>
      <c r="RH28" s="13"/>
      <c r="RI28" s="13"/>
      <c r="RJ28" s="13"/>
      <c r="RK28" s="13"/>
      <c r="RL28" s="13"/>
      <c r="RM28" s="13"/>
      <c r="RN28" s="13"/>
      <c r="RO28" s="13"/>
      <c r="RP28" s="13"/>
      <c r="RQ28" s="13"/>
      <c r="RR28" s="13"/>
      <c r="RS28" s="13"/>
      <c r="RT28" s="13"/>
      <c r="RU28" s="13"/>
      <c r="RV28" s="13"/>
      <c r="RW28" s="13"/>
      <c r="RX28" s="13"/>
      <c r="RY28" s="13"/>
      <c r="RZ28" s="13"/>
      <c r="SA28" s="13"/>
      <c r="SB28" s="13"/>
      <c r="SC28" s="13"/>
      <c r="SD28" s="13"/>
      <c r="SE28" s="13"/>
      <c r="SF28" s="13"/>
      <c r="SG28" s="13"/>
      <c r="SH28" s="13"/>
      <c r="SI28" s="13"/>
      <c r="SJ28" s="13"/>
      <c r="SK28" s="13"/>
      <c r="SL28" s="13"/>
      <c r="SM28" s="13"/>
      <c r="SN28" s="13"/>
      <c r="SO28" s="13"/>
      <c r="SP28" s="13"/>
      <c r="SQ28" s="13"/>
      <c r="SR28" s="13"/>
      <c r="SS28" s="13"/>
      <c r="ST28" s="13"/>
      <c r="SU28" s="13"/>
      <c r="SV28" s="13"/>
      <c r="SW28" s="13"/>
      <c r="SX28" s="13"/>
      <c r="SY28" s="13"/>
      <c r="SZ28" s="13"/>
      <c r="TA28" s="13"/>
      <c r="TB28" s="13"/>
      <c r="TC28" s="13"/>
      <c r="TD28" s="13"/>
      <c r="TE28" s="13"/>
      <c r="TF28" s="13"/>
      <c r="TG28" s="13"/>
      <c r="TH28" s="13"/>
      <c r="TI28" s="13"/>
      <c r="TJ28" s="13"/>
      <c r="TK28" s="13"/>
      <c r="TL28" s="13"/>
      <c r="TM28" s="13"/>
      <c r="TN28" s="13"/>
      <c r="TO28" s="13"/>
      <c r="TP28" s="13"/>
      <c r="TQ28" s="13"/>
      <c r="TR28" s="13"/>
      <c r="TS28" s="13"/>
      <c r="TT28" s="13"/>
      <c r="TU28" s="13"/>
      <c r="TV28" s="13"/>
      <c r="TW28" s="13"/>
      <c r="TX28" s="13"/>
      <c r="TY28" s="13"/>
      <c r="TZ28" s="13"/>
      <c r="UA28" s="13"/>
      <c r="UB28" s="13"/>
      <c r="UC28" s="13"/>
      <c r="UD28" s="13"/>
      <c r="UE28" s="13"/>
      <c r="UF28" s="13"/>
      <c r="UG28" s="13"/>
      <c r="UH28" s="13"/>
      <c r="UI28" s="13"/>
      <c r="UJ28" s="13"/>
      <c r="UK28" s="13"/>
      <c r="UL28" s="13"/>
      <c r="UM28" s="13"/>
      <c r="UN28" s="13"/>
      <c r="UO28" s="13"/>
      <c r="UP28" s="13"/>
      <c r="UQ28" s="13"/>
      <c r="UR28" s="13"/>
      <c r="US28" s="13"/>
      <c r="UT28" s="13"/>
      <c r="UU28" s="13"/>
      <c r="UV28" s="13"/>
      <c r="UW28" s="13"/>
      <c r="UX28" s="13"/>
      <c r="UY28" s="13"/>
      <c r="UZ28" s="13"/>
      <c r="VA28" s="13"/>
      <c r="VB28" s="13"/>
      <c r="VC28" s="13"/>
      <c r="VD28" s="13"/>
      <c r="VE28" s="13"/>
      <c r="VF28" s="13"/>
      <c r="VG28" s="13"/>
      <c r="VH28" s="13"/>
      <c r="VI28" s="13"/>
      <c r="VJ28" s="13"/>
      <c r="VK28" s="13"/>
      <c r="VL28" s="13"/>
      <c r="VM28" s="13"/>
      <c r="VN28" s="13"/>
      <c r="VO28" s="13"/>
      <c r="VP28" s="13"/>
      <c r="VQ28" s="13"/>
      <c r="VR28" s="13"/>
      <c r="VS28" s="13"/>
      <c r="VT28" s="13"/>
      <c r="VU28" s="13"/>
      <c r="VV28" s="13"/>
      <c r="VW28" s="13"/>
      <c r="VX28" s="13"/>
      <c r="VY28" s="13"/>
      <c r="VZ28" s="13"/>
      <c r="WA28" s="13"/>
      <c r="WB28" s="13"/>
      <c r="WC28" s="13"/>
      <c r="WD28" s="13"/>
      <c r="WE28" s="13"/>
      <c r="WF28" s="13"/>
      <c r="WG28" s="13"/>
      <c r="WH28" s="13"/>
      <c r="WI28" s="13"/>
      <c r="WJ28" s="13"/>
      <c r="WK28" s="13"/>
      <c r="WL28" s="13"/>
      <c r="WM28" s="13"/>
      <c r="WN28" s="13"/>
      <c r="WO28" s="13"/>
      <c r="WP28" s="13"/>
      <c r="WQ28" s="13"/>
      <c r="WR28" s="13"/>
      <c r="WS28" s="13"/>
      <c r="WT28" s="13"/>
      <c r="WU28" s="13"/>
      <c r="WV28" s="13"/>
      <c r="WW28" s="13"/>
      <c r="WX28" s="13"/>
      <c r="WY28" s="13"/>
      <c r="WZ28" s="13"/>
      <c r="XA28" s="13"/>
      <c r="XB28" s="13"/>
      <c r="XC28" s="13"/>
      <c r="XD28" s="13"/>
      <c r="XE28" s="13"/>
      <c r="XF28" s="13"/>
      <c r="XG28" s="13"/>
      <c r="XH28" s="13"/>
      <c r="XI28" s="13"/>
      <c r="XJ28" s="13"/>
      <c r="XK28" s="13"/>
      <c r="XL28" s="13"/>
      <c r="XM28" s="13"/>
      <c r="XN28" s="13"/>
      <c r="XO28" s="13"/>
      <c r="XP28" s="13"/>
      <c r="XQ28" s="13"/>
      <c r="XR28" s="13"/>
      <c r="XS28" s="13"/>
      <c r="XT28" s="13"/>
      <c r="XU28" s="13"/>
      <c r="XV28" s="13"/>
      <c r="XW28" s="13"/>
      <c r="XX28" s="13"/>
      <c r="XY28" s="13"/>
      <c r="XZ28" s="13"/>
      <c r="YA28" s="13"/>
      <c r="YB28" s="13"/>
      <c r="YC28" s="13"/>
      <c r="YD28" s="13"/>
      <c r="YE28" s="13"/>
      <c r="YF28" s="13"/>
      <c r="YG28" s="13"/>
      <c r="YH28" s="13"/>
      <c r="YI28" s="13"/>
      <c r="YJ28" s="13"/>
      <c r="YK28" s="13"/>
      <c r="YL28" s="13"/>
      <c r="YM28" s="13"/>
      <c r="YN28" s="13"/>
      <c r="YO28" s="13"/>
      <c r="YP28" s="13"/>
      <c r="YQ28" s="13"/>
      <c r="YR28" s="13"/>
      <c r="YS28" s="13"/>
      <c r="YT28" s="13"/>
      <c r="YU28" s="13"/>
      <c r="YV28" s="13"/>
      <c r="YW28" s="13"/>
      <c r="YX28" s="13"/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  <c r="AAM28" s="13"/>
      <c r="AAN28" s="13"/>
      <c r="AAO28" s="13"/>
      <c r="AAP28" s="13"/>
      <c r="AAQ28" s="13"/>
      <c r="AAR28" s="13"/>
      <c r="AAS28" s="13"/>
      <c r="AAT28" s="13"/>
      <c r="AAU28" s="13"/>
      <c r="AAV28" s="13"/>
      <c r="AAW28" s="13"/>
      <c r="AAX28" s="13"/>
      <c r="AAY28" s="13"/>
      <c r="AAZ28" s="13"/>
      <c r="ABA28" s="13"/>
      <c r="ABB28" s="13"/>
      <c r="ABC28" s="13"/>
      <c r="ABD28" s="13"/>
      <c r="ABE28" s="13"/>
      <c r="ABF28" s="13"/>
      <c r="ABG28" s="13"/>
      <c r="ABH28" s="13"/>
      <c r="ABI28" s="13"/>
      <c r="ABJ28" s="13"/>
      <c r="ABK28" s="13"/>
      <c r="ABL28" s="13"/>
      <c r="ABM28" s="13"/>
      <c r="ABN28" s="13"/>
      <c r="ABO28" s="13"/>
      <c r="ABP28" s="13"/>
      <c r="ABQ28" s="13"/>
      <c r="ABR28" s="13"/>
      <c r="ABS28" s="13"/>
      <c r="ABT28" s="13"/>
      <c r="ABU28" s="13"/>
      <c r="ABV28" s="13"/>
      <c r="ABW28" s="13"/>
      <c r="ABX28" s="13"/>
      <c r="ABY28" s="13"/>
      <c r="ABZ28" s="13"/>
      <c r="ACA28" s="13"/>
      <c r="ACB28" s="13"/>
      <c r="ACC28" s="13"/>
      <c r="ACD28" s="13"/>
      <c r="ACE28" s="13"/>
      <c r="ACF28" s="13"/>
      <c r="ACG28" s="13"/>
      <c r="ACH28" s="13"/>
      <c r="ACI28" s="13"/>
      <c r="ACJ28" s="13"/>
      <c r="ACK28" s="13"/>
      <c r="ACL28" s="13"/>
      <c r="ACM28" s="13"/>
      <c r="ACN28" s="13"/>
      <c r="ACO28" s="13"/>
      <c r="ACP28" s="13"/>
      <c r="ACQ28" s="13"/>
      <c r="ACR28" s="13"/>
      <c r="ACS28" s="13"/>
      <c r="ACT28" s="13"/>
      <c r="ACU28" s="13"/>
      <c r="ACV28" s="13"/>
      <c r="ACW28" s="13"/>
      <c r="ACX28" s="13"/>
      <c r="ACY28" s="13"/>
      <c r="ACZ28" s="13"/>
      <c r="ADA28" s="13"/>
      <c r="ADB28" s="13"/>
      <c r="ADC28" s="13"/>
      <c r="ADD28" s="13"/>
      <c r="ADE28" s="13"/>
      <c r="ADF28" s="13"/>
      <c r="ADG28" s="13"/>
      <c r="ADH28" s="13"/>
      <c r="ADI28" s="13"/>
      <c r="ADJ28" s="13"/>
      <c r="ADK28" s="13"/>
      <c r="ADL28" s="13"/>
      <c r="ADM28" s="13"/>
      <c r="ADN28" s="13"/>
      <c r="ADO28" s="13"/>
      <c r="ADP28" s="13"/>
      <c r="ADQ28" s="13"/>
      <c r="ADR28" s="13"/>
      <c r="ADS28" s="13"/>
      <c r="ADT28" s="13"/>
      <c r="ADU28" s="13"/>
      <c r="ADV28" s="13"/>
      <c r="ADW28" s="13"/>
      <c r="ADX28" s="13"/>
      <c r="ADY28" s="13"/>
      <c r="ADZ28" s="13"/>
      <c r="AEA28" s="13"/>
      <c r="AEB28" s="13"/>
      <c r="AEC28" s="13"/>
      <c r="AED28" s="13"/>
      <c r="AEE28" s="13"/>
      <c r="AEF28" s="13"/>
      <c r="AEG28" s="13"/>
      <c r="AEH28" s="13"/>
      <c r="AEI28" s="13"/>
      <c r="AEJ28" s="13"/>
      <c r="AEK28" s="13"/>
      <c r="AEL28" s="13"/>
      <c r="AEM28" s="13"/>
      <c r="AEN28" s="13"/>
      <c r="AEO28" s="13"/>
      <c r="AEP28" s="13"/>
      <c r="AEQ28" s="13"/>
      <c r="AER28" s="13"/>
      <c r="AES28" s="13"/>
      <c r="AET28" s="13"/>
      <c r="AEU28" s="13"/>
      <c r="AEV28" s="13"/>
      <c r="AEW28" s="13"/>
      <c r="AEX28" s="13"/>
      <c r="AEY28" s="13"/>
      <c r="AEZ28" s="13"/>
      <c r="AFA28" s="13"/>
      <c r="AFB28" s="13"/>
      <c r="AFC28" s="13"/>
      <c r="AFD28" s="13"/>
      <c r="AFE28" s="13"/>
      <c r="AFF28" s="13"/>
      <c r="AFG28" s="13"/>
      <c r="AFH28" s="13"/>
      <c r="AFI28" s="13"/>
      <c r="AFJ28" s="13"/>
      <c r="AFK28" s="13"/>
      <c r="AFL28" s="13"/>
      <c r="AFM28" s="13"/>
      <c r="AFN28" s="13"/>
      <c r="AFO28" s="13"/>
      <c r="AFP28" s="13"/>
      <c r="AFQ28" s="13"/>
      <c r="AFR28" s="13"/>
      <c r="AFS28" s="13"/>
      <c r="AFT28" s="13"/>
      <c r="AFU28" s="13"/>
      <c r="AFV28" s="13"/>
      <c r="AFW28" s="13"/>
      <c r="AFX28" s="13"/>
      <c r="AFY28" s="13"/>
      <c r="AFZ28" s="13"/>
      <c r="AGA28" s="13"/>
      <c r="AGB28" s="13"/>
      <c r="AGC28" s="13"/>
      <c r="AGD28" s="13"/>
      <c r="AGE28" s="13"/>
      <c r="AGF28" s="13"/>
      <c r="AGG28" s="13"/>
      <c r="AGH28" s="13"/>
      <c r="AGI28" s="13"/>
      <c r="AGJ28" s="13"/>
      <c r="AGK28" s="13"/>
      <c r="AGL28" s="13"/>
      <c r="AGM28" s="13"/>
      <c r="AGN28" s="13"/>
      <c r="AGO28" s="13"/>
      <c r="AGP28" s="13"/>
      <c r="AGQ28" s="13"/>
      <c r="AGR28" s="13"/>
      <c r="AGS28" s="13"/>
      <c r="AGT28" s="13"/>
      <c r="AGU28" s="13"/>
      <c r="AGV28" s="13"/>
      <c r="AGW28" s="13"/>
      <c r="AGX28" s="13"/>
      <c r="AGY28" s="13"/>
      <c r="AGZ28" s="13"/>
      <c r="AHA28" s="13"/>
      <c r="AHB28" s="13"/>
      <c r="AHC28" s="13"/>
      <c r="AHD28" s="13"/>
      <c r="AHE28" s="13"/>
      <c r="AHF28" s="13"/>
      <c r="AHG28" s="13"/>
      <c r="AHH28" s="13"/>
      <c r="AHI28" s="13"/>
      <c r="AHJ28" s="13"/>
      <c r="AHK28" s="13"/>
      <c r="AHL28" s="13"/>
      <c r="AHM28" s="13"/>
      <c r="AHN28" s="13"/>
      <c r="AHO28" s="13"/>
      <c r="AHP28" s="13"/>
      <c r="AHQ28" s="13"/>
      <c r="AHR28" s="13"/>
      <c r="AHS28" s="13"/>
      <c r="AHT28" s="13"/>
      <c r="AHU28" s="13"/>
      <c r="AHV28" s="13"/>
      <c r="AHW28" s="13"/>
      <c r="AHX28" s="13"/>
      <c r="AHY28" s="13"/>
      <c r="AHZ28" s="13"/>
      <c r="AIA28" s="13"/>
      <c r="AIB28" s="13"/>
      <c r="AIC28" s="13"/>
      <c r="AID28" s="13"/>
      <c r="AIE28" s="13"/>
      <c r="AIF28" s="13"/>
      <c r="AIG28" s="13"/>
      <c r="AIH28" s="13"/>
      <c r="AII28" s="13"/>
      <c r="AIJ28" s="13"/>
      <c r="AIK28" s="13"/>
      <c r="AIL28" s="13"/>
      <c r="AIM28" s="13"/>
      <c r="AIN28" s="13"/>
      <c r="AIO28" s="13"/>
      <c r="AIP28" s="13"/>
      <c r="AIQ28" s="13"/>
      <c r="AIR28" s="13"/>
      <c r="AIS28" s="13"/>
      <c r="AIT28" s="13"/>
      <c r="AIU28" s="13"/>
      <c r="AIV28" s="13"/>
      <c r="AIW28" s="13"/>
      <c r="AIX28" s="13"/>
      <c r="AIY28" s="13"/>
      <c r="AIZ28" s="13"/>
      <c r="AJA28" s="13"/>
      <c r="AJB28" s="13"/>
      <c r="AJC28" s="13"/>
      <c r="AJD28" s="13"/>
      <c r="AJE28" s="13"/>
      <c r="AJF28" s="13"/>
      <c r="AJG28" s="13"/>
      <c r="AJH28" s="13"/>
      <c r="AJI28" s="13"/>
      <c r="AJJ28" s="13"/>
      <c r="AJK28" s="13"/>
      <c r="AJL28" s="13"/>
      <c r="AJM28" s="13"/>
      <c r="AJN28" s="13"/>
      <c r="AJO28" s="13"/>
      <c r="AJP28" s="13"/>
      <c r="AJQ28" s="13"/>
      <c r="AJR28" s="13"/>
      <c r="AJS28" s="13"/>
      <c r="AJT28" s="13"/>
      <c r="AJU28" s="13"/>
      <c r="AJV28" s="13"/>
      <c r="AJW28" s="13"/>
      <c r="AJX28" s="13"/>
      <c r="AJY28" s="13"/>
      <c r="AJZ28" s="13"/>
      <c r="AKA28" s="13"/>
      <c r="AKB28" s="13"/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  <c r="AKR28" s="13"/>
      <c r="AKS28" s="13"/>
      <c r="AKT28" s="13"/>
      <c r="AKU28" s="13"/>
      <c r="AKV28" s="13"/>
      <c r="AKW28" s="13"/>
      <c r="AKX28" s="13"/>
      <c r="AKY28" s="13"/>
      <c r="AKZ28" s="13"/>
      <c r="ALA28" s="13"/>
      <c r="ALB28" s="13"/>
      <c r="ALC28" s="13"/>
      <c r="ALD28" s="13"/>
      <c r="ALE28" s="13"/>
      <c r="ALF28" s="13"/>
      <c r="ALG28" s="13"/>
      <c r="ALH28" s="13"/>
      <c r="ALI28" s="13"/>
      <c r="ALJ28" s="13"/>
      <c r="ALK28" s="13"/>
      <c r="ALL28" s="13"/>
      <c r="ALM28" s="13"/>
      <c r="ALN28" s="13"/>
      <c r="ALO28" s="13"/>
    </row>
    <row r="29" spans="1:1012" x14ac:dyDescent="0.35">
      <c r="A29" s="148" t="s">
        <v>42</v>
      </c>
      <c r="E29" s="128">
        <f>E28+E23</f>
        <v>1055750</v>
      </c>
      <c r="F29" s="14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13"/>
      <c r="QL29" s="13"/>
      <c r="QM29" s="13"/>
      <c r="QN29" s="13"/>
      <c r="QO29" s="13"/>
      <c r="QP29" s="13"/>
      <c r="QQ29" s="13"/>
      <c r="QR29" s="13"/>
      <c r="QS29" s="13"/>
      <c r="QT29" s="13"/>
      <c r="QU29" s="13"/>
      <c r="QV29" s="13"/>
      <c r="QW29" s="13"/>
      <c r="QX29" s="13"/>
      <c r="QY29" s="13"/>
      <c r="QZ29" s="13"/>
      <c r="RA29" s="13"/>
      <c r="RB29" s="13"/>
      <c r="RC29" s="13"/>
      <c r="RD29" s="13"/>
      <c r="RE29" s="13"/>
      <c r="RF29" s="13"/>
      <c r="RG29" s="13"/>
      <c r="RH29" s="13"/>
      <c r="RI29" s="13"/>
      <c r="RJ29" s="13"/>
      <c r="RK29" s="13"/>
      <c r="RL29" s="13"/>
      <c r="RM29" s="13"/>
      <c r="RN29" s="13"/>
      <c r="RO29" s="13"/>
      <c r="RP29" s="13"/>
      <c r="RQ29" s="13"/>
      <c r="RR29" s="13"/>
      <c r="RS29" s="13"/>
      <c r="RT29" s="13"/>
      <c r="RU29" s="13"/>
      <c r="RV29" s="13"/>
      <c r="RW29" s="13"/>
      <c r="RX29" s="13"/>
      <c r="RY29" s="13"/>
      <c r="RZ29" s="13"/>
      <c r="SA29" s="13"/>
      <c r="SB29" s="13"/>
      <c r="SC29" s="13"/>
      <c r="SD29" s="13"/>
      <c r="SE29" s="13"/>
      <c r="SF29" s="13"/>
      <c r="SG29" s="13"/>
      <c r="SH29" s="13"/>
      <c r="SI29" s="13"/>
      <c r="SJ29" s="13"/>
      <c r="SK29" s="13"/>
      <c r="SL29" s="13"/>
      <c r="SM29" s="13"/>
      <c r="SN29" s="13"/>
      <c r="SO29" s="13"/>
      <c r="SP29" s="13"/>
      <c r="SQ29" s="13"/>
      <c r="SR29" s="13"/>
      <c r="SS29" s="13"/>
      <c r="ST29" s="13"/>
      <c r="SU29" s="13"/>
      <c r="SV29" s="13"/>
      <c r="SW29" s="13"/>
      <c r="SX29" s="13"/>
      <c r="SY29" s="13"/>
      <c r="SZ29" s="13"/>
      <c r="TA29" s="13"/>
      <c r="TB29" s="13"/>
      <c r="TC29" s="13"/>
      <c r="TD29" s="13"/>
      <c r="TE29" s="13"/>
      <c r="TF29" s="13"/>
      <c r="TG29" s="13"/>
      <c r="TH29" s="13"/>
      <c r="TI29" s="13"/>
      <c r="TJ29" s="13"/>
      <c r="TK29" s="13"/>
      <c r="TL29" s="13"/>
      <c r="TM29" s="13"/>
      <c r="TN29" s="13"/>
      <c r="TO29" s="13"/>
      <c r="TP29" s="13"/>
      <c r="TQ29" s="13"/>
      <c r="TR29" s="13"/>
      <c r="TS29" s="13"/>
      <c r="TT29" s="13"/>
      <c r="TU29" s="13"/>
      <c r="TV29" s="13"/>
      <c r="TW29" s="13"/>
      <c r="TX29" s="13"/>
      <c r="TY29" s="13"/>
      <c r="TZ29" s="13"/>
      <c r="UA29" s="13"/>
      <c r="UB29" s="13"/>
      <c r="UC29" s="13"/>
      <c r="UD29" s="13"/>
      <c r="UE29" s="13"/>
      <c r="UF29" s="13"/>
      <c r="UG29" s="13"/>
      <c r="UH29" s="13"/>
      <c r="UI29" s="13"/>
      <c r="UJ29" s="13"/>
      <c r="UK29" s="13"/>
      <c r="UL29" s="13"/>
      <c r="UM29" s="13"/>
      <c r="UN29" s="13"/>
      <c r="UO29" s="13"/>
      <c r="UP29" s="13"/>
      <c r="UQ29" s="13"/>
      <c r="UR29" s="13"/>
      <c r="US29" s="13"/>
      <c r="UT29" s="13"/>
      <c r="UU29" s="13"/>
      <c r="UV29" s="13"/>
      <c r="UW29" s="13"/>
      <c r="UX29" s="13"/>
      <c r="UY29" s="13"/>
      <c r="UZ29" s="13"/>
      <c r="VA29" s="13"/>
      <c r="VB29" s="13"/>
      <c r="VC29" s="13"/>
      <c r="VD29" s="13"/>
      <c r="VE29" s="13"/>
      <c r="VF29" s="13"/>
      <c r="VG29" s="13"/>
      <c r="VH29" s="13"/>
      <c r="VI29" s="13"/>
      <c r="VJ29" s="13"/>
      <c r="VK29" s="13"/>
      <c r="VL29" s="13"/>
      <c r="VM29" s="13"/>
      <c r="VN29" s="13"/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  <c r="AAM29" s="13"/>
      <c r="AAN29" s="13"/>
      <c r="AAO29" s="13"/>
      <c r="AAP29" s="13"/>
      <c r="AAQ29" s="13"/>
      <c r="AAR29" s="13"/>
      <c r="AAS29" s="13"/>
      <c r="AAT29" s="13"/>
      <c r="AAU29" s="13"/>
      <c r="AAV29" s="13"/>
      <c r="AAW29" s="13"/>
      <c r="AAX29" s="13"/>
      <c r="AAY29" s="13"/>
      <c r="AAZ29" s="13"/>
      <c r="ABA29" s="13"/>
      <c r="ABB29" s="13"/>
      <c r="ABC29" s="13"/>
      <c r="ABD29" s="13"/>
      <c r="ABE29" s="13"/>
      <c r="ABF29" s="13"/>
      <c r="ABG29" s="13"/>
      <c r="ABH29" s="13"/>
      <c r="ABI29" s="13"/>
      <c r="ABJ29" s="13"/>
      <c r="ABK29" s="13"/>
      <c r="ABL29" s="13"/>
      <c r="ABM29" s="13"/>
      <c r="ABN29" s="13"/>
      <c r="ABO29" s="13"/>
      <c r="ABP29" s="13"/>
      <c r="ABQ29" s="13"/>
      <c r="ABR29" s="13"/>
      <c r="ABS29" s="13"/>
      <c r="ABT29" s="13"/>
      <c r="ABU29" s="13"/>
      <c r="ABV29" s="13"/>
      <c r="ABW29" s="13"/>
      <c r="ABX29" s="13"/>
      <c r="ABY29" s="13"/>
      <c r="ABZ29" s="13"/>
      <c r="ACA29" s="13"/>
      <c r="ACB29" s="13"/>
      <c r="ACC29" s="13"/>
      <c r="ACD29" s="13"/>
      <c r="ACE29" s="13"/>
      <c r="ACF29" s="13"/>
      <c r="ACG29" s="13"/>
      <c r="ACH29" s="13"/>
      <c r="ACI29" s="13"/>
      <c r="ACJ29" s="13"/>
      <c r="ACK29" s="13"/>
      <c r="ACL29" s="13"/>
      <c r="ACM29" s="13"/>
      <c r="ACN29" s="13"/>
      <c r="ACO29" s="13"/>
      <c r="ACP29" s="13"/>
      <c r="ACQ29" s="13"/>
      <c r="ACR29" s="13"/>
      <c r="ACS29" s="13"/>
      <c r="ACT29" s="13"/>
      <c r="ACU29" s="13"/>
      <c r="ACV29" s="13"/>
      <c r="ACW29" s="13"/>
      <c r="ACX29" s="13"/>
      <c r="ACY29" s="13"/>
      <c r="ACZ29" s="13"/>
      <c r="ADA29" s="13"/>
      <c r="ADB29" s="13"/>
      <c r="ADC29" s="13"/>
      <c r="ADD29" s="13"/>
      <c r="ADE29" s="13"/>
      <c r="ADF29" s="13"/>
      <c r="ADG29" s="13"/>
      <c r="ADH29" s="13"/>
      <c r="ADI29" s="13"/>
      <c r="ADJ29" s="13"/>
      <c r="ADK29" s="13"/>
      <c r="ADL29" s="13"/>
      <c r="ADM29" s="13"/>
      <c r="ADN29" s="13"/>
      <c r="ADO29" s="13"/>
      <c r="ADP29" s="13"/>
      <c r="ADQ29" s="13"/>
      <c r="ADR29" s="13"/>
      <c r="ADS29" s="13"/>
      <c r="ADT29" s="13"/>
      <c r="ADU29" s="13"/>
      <c r="ADV29" s="13"/>
      <c r="ADW29" s="13"/>
      <c r="ADX29" s="13"/>
      <c r="ADY29" s="13"/>
      <c r="ADZ29" s="13"/>
      <c r="AEA29" s="13"/>
      <c r="AEB29" s="13"/>
      <c r="AEC29" s="13"/>
      <c r="AED29" s="13"/>
      <c r="AEE29" s="13"/>
      <c r="AEF29" s="13"/>
      <c r="AEG29" s="13"/>
      <c r="AEH29" s="13"/>
      <c r="AEI29" s="13"/>
      <c r="AEJ29" s="13"/>
      <c r="AEK29" s="13"/>
      <c r="AEL29" s="13"/>
      <c r="AEM29" s="13"/>
      <c r="AEN29" s="13"/>
      <c r="AEO29" s="13"/>
      <c r="AEP29" s="13"/>
      <c r="AEQ29" s="13"/>
      <c r="AER29" s="13"/>
      <c r="AES29" s="13"/>
      <c r="AET29" s="13"/>
      <c r="AEU29" s="13"/>
      <c r="AEV29" s="13"/>
      <c r="AEW29" s="13"/>
      <c r="AEX29" s="13"/>
      <c r="AEY29" s="13"/>
      <c r="AEZ29" s="13"/>
      <c r="AFA29" s="13"/>
      <c r="AFB29" s="13"/>
      <c r="AFC29" s="13"/>
      <c r="AFD29" s="13"/>
      <c r="AFE29" s="13"/>
      <c r="AFF29" s="13"/>
      <c r="AFG29" s="13"/>
      <c r="AFH29" s="13"/>
      <c r="AFI29" s="13"/>
      <c r="AFJ29" s="13"/>
      <c r="AFK29" s="13"/>
      <c r="AFL29" s="13"/>
      <c r="AFM29" s="13"/>
      <c r="AFN29" s="13"/>
      <c r="AFO29" s="13"/>
      <c r="AFP29" s="13"/>
      <c r="AFQ29" s="13"/>
      <c r="AFR29" s="13"/>
      <c r="AFS29" s="13"/>
      <c r="AFT29" s="13"/>
      <c r="AFU29" s="13"/>
      <c r="AFV29" s="13"/>
      <c r="AFW29" s="13"/>
      <c r="AFX29" s="13"/>
      <c r="AFY29" s="13"/>
      <c r="AFZ29" s="13"/>
      <c r="AGA29" s="13"/>
      <c r="AGB29" s="13"/>
      <c r="AGC29" s="13"/>
      <c r="AGD29" s="13"/>
      <c r="AGE29" s="13"/>
      <c r="AGF29" s="13"/>
      <c r="AGG29" s="13"/>
      <c r="AGH29" s="13"/>
      <c r="AGI29" s="13"/>
      <c r="AGJ29" s="13"/>
      <c r="AGK29" s="13"/>
      <c r="AGL29" s="13"/>
      <c r="AGM29" s="13"/>
      <c r="AGN29" s="13"/>
      <c r="AGO29" s="13"/>
      <c r="AGP29" s="13"/>
      <c r="AGQ29" s="13"/>
      <c r="AGR29" s="13"/>
      <c r="AGS29" s="13"/>
      <c r="AGT29" s="13"/>
      <c r="AGU29" s="13"/>
      <c r="AGV29" s="13"/>
      <c r="AGW29" s="13"/>
      <c r="AGX29" s="13"/>
      <c r="AGY29" s="13"/>
      <c r="AGZ29" s="13"/>
      <c r="AHA29" s="13"/>
      <c r="AHB29" s="13"/>
      <c r="AHC29" s="13"/>
      <c r="AHD29" s="13"/>
      <c r="AHE29" s="13"/>
      <c r="AHF29" s="13"/>
      <c r="AHG29" s="13"/>
      <c r="AHH29" s="13"/>
      <c r="AHI29" s="13"/>
      <c r="AHJ29" s="13"/>
      <c r="AHK29" s="13"/>
      <c r="AHL29" s="13"/>
      <c r="AHM29" s="13"/>
      <c r="AHN29" s="13"/>
      <c r="AHO29" s="13"/>
      <c r="AHP29" s="13"/>
      <c r="AHQ29" s="13"/>
      <c r="AHR29" s="13"/>
      <c r="AHS29" s="13"/>
      <c r="AHT29" s="13"/>
      <c r="AHU29" s="13"/>
      <c r="AHV29" s="13"/>
      <c r="AHW29" s="13"/>
      <c r="AHX29" s="13"/>
      <c r="AHY29" s="13"/>
      <c r="AHZ29" s="13"/>
      <c r="AIA29" s="13"/>
      <c r="AIB29" s="13"/>
      <c r="AIC29" s="13"/>
      <c r="AID29" s="13"/>
      <c r="AIE29" s="13"/>
      <c r="AIF29" s="13"/>
      <c r="AIG29" s="13"/>
      <c r="AIH29" s="13"/>
      <c r="AII29" s="13"/>
      <c r="AIJ29" s="13"/>
      <c r="AIK29" s="13"/>
      <c r="AIL29" s="13"/>
      <c r="AIM29" s="13"/>
      <c r="AIN29" s="13"/>
      <c r="AIO29" s="13"/>
      <c r="AIP29" s="13"/>
      <c r="AIQ29" s="13"/>
      <c r="AIR29" s="13"/>
      <c r="AIS29" s="13"/>
      <c r="AIT29" s="13"/>
      <c r="AIU29" s="13"/>
      <c r="AIV29" s="13"/>
      <c r="AIW29" s="13"/>
      <c r="AIX29" s="13"/>
      <c r="AIY29" s="13"/>
      <c r="AIZ29" s="13"/>
      <c r="AJA29" s="13"/>
      <c r="AJB29" s="13"/>
      <c r="AJC29" s="13"/>
      <c r="AJD29" s="13"/>
      <c r="AJE29" s="13"/>
      <c r="AJF29" s="13"/>
      <c r="AJG29" s="13"/>
      <c r="AJH29" s="13"/>
      <c r="AJI29" s="13"/>
      <c r="AJJ29" s="13"/>
      <c r="AJK29" s="13"/>
      <c r="AJL29" s="13"/>
      <c r="AJM29" s="13"/>
      <c r="AJN29" s="13"/>
      <c r="AJO29" s="13"/>
      <c r="AJP29" s="13"/>
      <c r="AJQ29" s="13"/>
      <c r="AJR29" s="13"/>
      <c r="AJS29" s="13"/>
      <c r="AJT29" s="13"/>
      <c r="AJU29" s="13"/>
      <c r="AJV29" s="13"/>
      <c r="AJW29" s="13"/>
      <c r="AJX29" s="13"/>
      <c r="AJY29" s="13"/>
      <c r="AJZ29" s="13"/>
      <c r="AKA29" s="13"/>
      <c r="AKB29" s="13"/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  <c r="AKR29" s="13"/>
      <c r="AKS29" s="13"/>
      <c r="AKT29" s="13"/>
      <c r="AKU29" s="13"/>
      <c r="AKV29" s="13"/>
      <c r="AKW29" s="13"/>
      <c r="AKX29" s="13"/>
      <c r="AKY29" s="13"/>
      <c r="AKZ29" s="13"/>
      <c r="ALA29" s="13"/>
      <c r="ALB29" s="13"/>
      <c r="ALC29" s="13"/>
      <c r="ALD29" s="13"/>
      <c r="ALE29" s="13"/>
      <c r="ALF29" s="13"/>
      <c r="ALG29" s="13"/>
      <c r="ALH29" s="13"/>
      <c r="ALI29" s="13"/>
      <c r="ALJ29" s="13"/>
      <c r="ALK29" s="13"/>
      <c r="ALL29" s="13"/>
      <c r="ALM29" s="13"/>
      <c r="ALN29" s="13"/>
      <c r="ALO29" s="13"/>
    </row>
    <row r="30" spans="1:1012" ht="15" thickBot="1" x14ac:dyDescent="0.4">
      <c r="A30" s="1" t="s">
        <v>9</v>
      </c>
      <c r="B30" s="1"/>
      <c r="E30" s="127">
        <f>+E21+E29</f>
        <v>3185506</v>
      </c>
      <c r="F30" s="143"/>
      <c r="G30" s="77">
        <f>E15-E30</f>
        <v>-2935213.6780821919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  <c r="QI30" s="13"/>
      <c r="QJ30" s="13"/>
      <c r="QK30" s="13"/>
      <c r="QL30" s="13"/>
      <c r="QM30" s="13"/>
      <c r="QN30" s="13"/>
      <c r="QO30" s="13"/>
      <c r="QP30" s="13"/>
      <c r="QQ30" s="13"/>
      <c r="QR30" s="13"/>
      <c r="QS30" s="13"/>
      <c r="QT30" s="13"/>
      <c r="QU30" s="13"/>
      <c r="QV30" s="13"/>
      <c r="QW30" s="13"/>
      <c r="QX30" s="13"/>
      <c r="QY30" s="13"/>
      <c r="QZ30" s="13"/>
      <c r="RA30" s="13"/>
      <c r="RB30" s="13"/>
      <c r="RC30" s="13"/>
      <c r="RD30" s="13"/>
      <c r="RE30" s="13"/>
      <c r="RF30" s="13"/>
      <c r="RG30" s="13"/>
      <c r="RH30" s="13"/>
      <c r="RI30" s="13"/>
      <c r="RJ30" s="13"/>
      <c r="RK30" s="13"/>
      <c r="RL30" s="13"/>
      <c r="RM30" s="13"/>
      <c r="RN30" s="13"/>
      <c r="RO30" s="13"/>
      <c r="RP30" s="13"/>
      <c r="RQ30" s="13"/>
      <c r="RR30" s="13"/>
      <c r="RS30" s="13"/>
      <c r="RT30" s="13"/>
      <c r="RU30" s="13"/>
      <c r="RV30" s="13"/>
      <c r="RW30" s="13"/>
      <c r="RX30" s="13"/>
      <c r="RY30" s="13"/>
      <c r="RZ30" s="13"/>
      <c r="SA30" s="13"/>
      <c r="SB30" s="13"/>
      <c r="SC30" s="13"/>
      <c r="SD30" s="13"/>
      <c r="SE30" s="13"/>
      <c r="SF30" s="13"/>
      <c r="SG30" s="13"/>
      <c r="SH30" s="13"/>
      <c r="SI30" s="13"/>
      <c r="SJ30" s="13"/>
      <c r="SK30" s="13"/>
      <c r="SL30" s="13"/>
      <c r="SM30" s="13"/>
      <c r="SN30" s="13"/>
      <c r="SO30" s="13"/>
      <c r="SP30" s="13"/>
      <c r="SQ30" s="13"/>
      <c r="SR30" s="13"/>
      <c r="SS30" s="13"/>
      <c r="ST30" s="13"/>
      <c r="SU30" s="13"/>
      <c r="SV30" s="13"/>
      <c r="SW30" s="13"/>
      <c r="SX30" s="13"/>
      <c r="SY30" s="13"/>
      <c r="SZ30" s="13"/>
      <c r="TA30" s="13"/>
      <c r="TB30" s="13"/>
      <c r="TC30" s="13"/>
      <c r="TD30" s="13"/>
      <c r="TE30" s="13"/>
      <c r="TF30" s="13"/>
      <c r="TG30" s="13"/>
      <c r="TH30" s="13"/>
      <c r="TI30" s="13"/>
      <c r="TJ30" s="13"/>
      <c r="TK30" s="13"/>
      <c r="TL30" s="13"/>
      <c r="TM30" s="13"/>
      <c r="TN30" s="13"/>
      <c r="TO30" s="13"/>
      <c r="TP30" s="13"/>
      <c r="TQ30" s="13"/>
      <c r="TR30" s="13"/>
      <c r="TS30" s="13"/>
      <c r="TT30" s="13"/>
      <c r="TU30" s="13"/>
      <c r="TV30" s="13"/>
      <c r="TW30" s="13"/>
      <c r="TX30" s="13"/>
      <c r="TY30" s="13"/>
      <c r="TZ30" s="13"/>
      <c r="UA30" s="13"/>
      <c r="UB30" s="13"/>
      <c r="UC30" s="13"/>
      <c r="UD30" s="13"/>
      <c r="UE30" s="13"/>
      <c r="UF30" s="13"/>
      <c r="UG30" s="13"/>
      <c r="UH30" s="13"/>
      <c r="UI30" s="13"/>
      <c r="UJ30" s="13"/>
      <c r="UK30" s="13"/>
      <c r="UL30" s="13"/>
      <c r="UM30" s="13"/>
      <c r="UN30" s="13"/>
      <c r="UO30" s="13"/>
      <c r="UP30" s="13"/>
      <c r="UQ30" s="13"/>
      <c r="UR30" s="13"/>
      <c r="US30" s="13"/>
      <c r="UT30" s="13"/>
      <c r="UU30" s="13"/>
      <c r="UV30" s="13"/>
      <c r="UW30" s="13"/>
      <c r="UX30" s="13"/>
      <c r="UY30" s="13"/>
      <c r="UZ30" s="13"/>
      <c r="VA30" s="13"/>
      <c r="VB30" s="13"/>
      <c r="VC30" s="13"/>
      <c r="VD30" s="13"/>
      <c r="VE30" s="13"/>
      <c r="VF30" s="13"/>
      <c r="VG30" s="13"/>
      <c r="VH30" s="13"/>
      <c r="VI30" s="13"/>
      <c r="VJ30" s="13"/>
      <c r="VK30" s="13"/>
      <c r="VL30" s="13"/>
      <c r="VM30" s="13"/>
      <c r="VN30" s="13"/>
      <c r="VO30" s="13"/>
      <c r="VP30" s="13"/>
      <c r="VQ30" s="13"/>
      <c r="VR30" s="13"/>
      <c r="VS30" s="13"/>
      <c r="VT30" s="13"/>
      <c r="VU30" s="13"/>
      <c r="VV30" s="13"/>
      <c r="VW30" s="13"/>
      <c r="VX30" s="13"/>
      <c r="VY30" s="13"/>
      <c r="VZ30" s="13"/>
      <c r="WA30" s="13"/>
      <c r="WB30" s="13"/>
      <c r="WC30" s="13"/>
      <c r="WD30" s="13"/>
      <c r="WE30" s="13"/>
      <c r="WF30" s="13"/>
      <c r="WG30" s="13"/>
      <c r="WH30" s="13"/>
      <c r="WI30" s="13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3"/>
      <c r="WY30" s="13"/>
      <c r="WZ30" s="13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13"/>
      <c r="XQ30" s="13"/>
      <c r="XR30" s="13"/>
      <c r="XS30" s="13"/>
      <c r="XT30" s="13"/>
      <c r="XU30" s="13"/>
      <c r="XV30" s="13"/>
      <c r="XW30" s="13"/>
      <c r="XX30" s="13"/>
      <c r="XY30" s="13"/>
      <c r="XZ30" s="13"/>
      <c r="YA30" s="13"/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13"/>
      <c r="YO30" s="13"/>
      <c r="YP30" s="13"/>
      <c r="YQ30" s="13"/>
      <c r="YR30" s="13"/>
      <c r="YS30" s="13"/>
      <c r="YT30" s="13"/>
      <c r="YU30" s="13"/>
      <c r="YV30" s="13"/>
      <c r="YW30" s="13"/>
      <c r="YX30" s="13"/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  <c r="AAM30" s="13"/>
      <c r="AAN30" s="13"/>
      <c r="AAO30" s="13"/>
      <c r="AAP30" s="13"/>
      <c r="AAQ30" s="13"/>
      <c r="AAR30" s="13"/>
      <c r="AAS30" s="13"/>
      <c r="AAT30" s="13"/>
      <c r="AAU30" s="13"/>
      <c r="AAV30" s="13"/>
      <c r="AAW30" s="13"/>
      <c r="AAX30" s="13"/>
      <c r="AAY30" s="13"/>
      <c r="AAZ30" s="13"/>
      <c r="ABA30" s="13"/>
      <c r="ABB30" s="13"/>
      <c r="ABC30" s="13"/>
      <c r="ABD30" s="13"/>
      <c r="ABE30" s="13"/>
      <c r="ABF30" s="13"/>
      <c r="ABG30" s="13"/>
      <c r="ABH30" s="13"/>
      <c r="ABI30" s="13"/>
      <c r="ABJ30" s="13"/>
      <c r="ABK30" s="13"/>
      <c r="ABL30" s="13"/>
      <c r="ABM30" s="13"/>
      <c r="ABN30" s="13"/>
      <c r="ABO30" s="13"/>
      <c r="ABP30" s="13"/>
      <c r="ABQ30" s="13"/>
      <c r="ABR30" s="13"/>
      <c r="ABS30" s="13"/>
      <c r="ABT30" s="13"/>
      <c r="ABU30" s="13"/>
      <c r="ABV30" s="13"/>
      <c r="ABW30" s="13"/>
      <c r="ABX30" s="13"/>
      <c r="ABY30" s="13"/>
      <c r="ABZ30" s="13"/>
      <c r="ACA30" s="13"/>
      <c r="ACB30" s="13"/>
      <c r="ACC30" s="13"/>
      <c r="ACD30" s="13"/>
      <c r="ACE30" s="13"/>
      <c r="ACF30" s="13"/>
      <c r="ACG30" s="13"/>
      <c r="ACH30" s="13"/>
      <c r="ACI30" s="13"/>
      <c r="ACJ30" s="13"/>
      <c r="ACK30" s="13"/>
      <c r="ACL30" s="13"/>
      <c r="ACM30" s="13"/>
      <c r="ACN30" s="13"/>
      <c r="ACO30" s="13"/>
      <c r="ACP30" s="13"/>
      <c r="ACQ30" s="13"/>
      <c r="ACR30" s="13"/>
      <c r="ACS30" s="13"/>
      <c r="ACT30" s="13"/>
      <c r="ACU30" s="13"/>
      <c r="ACV30" s="13"/>
      <c r="ACW30" s="13"/>
      <c r="ACX30" s="13"/>
      <c r="ACY30" s="13"/>
      <c r="ACZ30" s="13"/>
      <c r="ADA30" s="13"/>
      <c r="ADB30" s="13"/>
      <c r="ADC30" s="13"/>
      <c r="ADD30" s="13"/>
      <c r="ADE30" s="13"/>
      <c r="ADF30" s="13"/>
      <c r="ADG30" s="13"/>
      <c r="ADH30" s="13"/>
      <c r="ADI30" s="13"/>
      <c r="ADJ30" s="13"/>
      <c r="ADK30" s="13"/>
      <c r="ADL30" s="13"/>
      <c r="ADM30" s="13"/>
      <c r="ADN30" s="13"/>
      <c r="ADO30" s="13"/>
      <c r="ADP30" s="13"/>
      <c r="ADQ30" s="13"/>
      <c r="ADR30" s="13"/>
      <c r="ADS30" s="13"/>
      <c r="ADT30" s="13"/>
      <c r="ADU30" s="13"/>
      <c r="ADV30" s="13"/>
      <c r="ADW30" s="13"/>
      <c r="ADX30" s="13"/>
      <c r="ADY30" s="13"/>
      <c r="ADZ30" s="13"/>
      <c r="AEA30" s="13"/>
      <c r="AEB30" s="13"/>
      <c r="AEC30" s="13"/>
      <c r="AED30" s="13"/>
      <c r="AEE30" s="13"/>
      <c r="AEF30" s="13"/>
      <c r="AEG30" s="13"/>
      <c r="AEH30" s="13"/>
      <c r="AEI30" s="13"/>
      <c r="AEJ30" s="13"/>
      <c r="AEK30" s="13"/>
      <c r="AEL30" s="13"/>
      <c r="AEM30" s="13"/>
      <c r="AEN30" s="13"/>
      <c r="AEO30" s="13"/>
      <c r="AEP30" s="13"/>
      <c r="AEQ30" s="13"/>
      <c r="AER30" s="13"/>
      <c r="AES30" s="13"/>
      <c r="AET30" s="13"/>
      <c r="AEU30" s="13"/>
      <c r="AEV30" s="13"/>
      <c r="AEW30" s="13"/>
      <c r="AEX30" s="13"/>
      <c r="AEY30" s="13"/>
      <c r="AEZ30" s="13"/>
      <c r="AFA30" s="13"/>
      <c r="AFB30" s="13"/>
      <c r="AFC30" s="13"/>
      <c r="AFD30" s="13"/>
      <c r="AFE30" s="13"/>
      <c r="AFF30" s="13"/>
      <c r="AFG30" s="13"/>
      <c r="AFH30" s="13"/>
      <c r="AFI30" s="13"/>
      <c r="AFJ30" s="13"/>
      <c r="AFK30" s="13"/>
      <c r="AFL30" s="13"/>
      <c r="AFM30" s="13"/>
      <c r="AFN30" s="13"/>
      <c r="AFO30" s="13"/>
      <c r="AFP30" s="13"/>
      <c r="AFQ30" s="13"/>
      <c r="AFR30" s="13"/>
      <c r="AFS30" s="13"/>
      <c r="AFT30" s="13"/>
      <c r="AFU30" s="13"/>
      <c r="AFV30" s="13"/>
      <c r="AFW30" s="13"/>
      <c r="AFX30" s="13"/>
      <c r="AFY30" s="13"/>
      <c r="AFZ30" s="13"/>
      <c r="AGA30" s="13"/>
      <c r="AGB30" s="13"/>
      <c r="AGC30" s="13"/>
      <c r="AGD30" s="13"/>
      <c r="AGE30" s="13"/>
      <c r="AGF30" s="13"/>
      <c r="AGG30" s="13"/>
      <c r="AGH30" s="13"/>
      <c r="AGI30" s="13"/>
      <c r="AGJ30" s="13"/>
      <c r="AGK30" s="13"/>
      <c r="AGL30" s="13"/>
      <c r="AGM30" s="13"/>
      <c r="AGN30" s="13"/>
      <c r="AGO30" s="13"/>
      <c r="AGP30" s="13"/>
      <c r="AGQ30" s="13"/>
      <c r="AGR30" s="13"/>
      <c r="AGS30" s="13"/>
      <c r="AGT30" s="13"/>
      <c r="AGU30" s="13"/>
      <c r="AGV30" s="13"/>
      <c r="AGW30" s="13"/>
      <c r="AGX30" s="13"/>
      <c r="AGY30" s="13"/>
      <c r="AGZ30" s="13"/>
      <c r="AHA30" s="13"/>
      <c r="AHB30" s="13"/>
      <c r="AHC30" s="13"/>
      <c r="AHD30" s="13"/>
      <c r="AHE30" s="13"/>
      <c r="AHF30" s="13"/>
      <c r="AHG30" s="13"/>
      <c r="AHH30" s="13"/>
      <c r="AHI30" s="13"/>
      <c r="AHJ30" s="13"/>
      <c r="AHK30" s="13"/>
      <c r="AHL30" s="13"/>
      <c r="AHM30" s="13"/>
      <c r="AHN30" s="13"/>
      <c r="AHO30" s="13"/>
      <c r="AHP30" s="13"/>
      <c r="AHQ30" s="13"/>
      <c r="AHR30" s="13"/>
      <c r="AHS30" s="13"/>
      <c r="AHT30" s="13"/>
      <c r="AHU30" s="13"/>
      <c r="AHV30" s="13"/>
      <c r="AHW30" s="13"/>
      <c r="AHX30" s="13"/>
      <c r="AHY30" s="13"/>
      <c r="AHZ30" s="13"/>
      <c r="AIA30" s="13"/>
      <c r="AIB30" s="13"/>
      <c r="AIC30" s="13"/>
      <c r="AID30" s="13"/>
      <c r="AIE30" s="13"/>
      <c r="AIF30" s="13"/>
      <c r="AIG30" s="13"/>
      <c r="AIH30" s="13"/>
      <c r="AII30" s="13"/>
      <c r="AIJ30" s="13"/>
      <c r="AIK30" s="13"/>
      <c r="AIL30" s="13"/>
      <c r="AIM30" s="13"/>
      <c r="AIN30" s="13"/>
      <c r="AIO30" s="13"/>
      <c r="AIP30" s="13"/>
      <c r="AIQ30" s="13"/>
      <c r="AIR30" s="13"/>
      <c r="AIS30" s="13"/>
      <c r="AIT30" s="13"/>
      <c r="AIU30" s="13"/>
      <c r="AIV30" s="13"/>
      <c r="AIW30" s="13"/>
      <c r="AIX30" s="13"/>
      <c r="AIY30" s="13"/>
      <c r="AIZ30" s="13"/>
      <c r="AJA30" s="13"/>
      <c r="AJB30" s="13"/>
      <c r="AJC30" s="13"/>
      <c r="AJD30" s="13"/>
      <c r="AJE30" s="13"/>
      <c r="AJF30" s="13"/>
      <c r="AJG30" s="13"/>
      <c r="AJH30" s="13"/>
      <c r="AJI30" s="13"/>
      <c r="AJJ30" s="13"/>
      <c r="AJK30" s="13"/>
      <c r="AJL30" s="13"/>
      <c r="AJM30" s="13"/>
      <c r="AJN30" s="13"/>
      <c r="AJO30" s="13"/>
      <c r="AJP30" s="13"/>
      <c r="AJQ30" s="13"/>
      <c r="AJR30" s="13"/>
      <c r="AJS30" s="13"/>
      <c r="AJT30" s="13"/>
      <c r="AJU30" s="13"/>
      <c r="AJV30" s="13"/>
      <c r="AJW30" s="13"/>
      <c r="AJX30" s="13"/>
      <c r="AJY30" s="13"/>
      <c r="AJZ30" s="13"/>
      <c r="AKA30" s="13"/>
      <c r="AKB30" s="13"/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  <c r="AKR30" s="13"/>
      <c r="AKS30" s="13"/>
      <c r="AKT30" s="13"/>
      <c r="AKU30" s="13"/>
      <c r="AKV30" s="13"/>
      <c r="AKW30" s="13"/>
      <c r="AKX30" s="13"/>
      <c r="AKY30" s="13"/>
      <c r="AKZ30" s="13"/>
      <c r="ALA30" s="13"/>
      <c r="ALB30" s="13"/>
      <c r="ALC30" s="13"/>
      <c r="ALD30" s="13"/>
      <c r="ALE30" s="13"/>
      <c r="ALF30" s="13"/>
      <c r="ALG30" s="13"/>
      <c r="ALH30" s="13"/>
      <c r="ALI30" s="13"/>
      <c r="ALJ30" s="13"/>
      <c r="ALK30" s="13"/>
      <c r="ALL30" s="13"/>
      <c r="ALM30" s="13"/>
      <c r="ALN30" s="13"/>
      <c r="ALO30" s="13"/>
    </row>
    <row r="31" spans="1:1012" ht="15" thickTop="1" x14ac:dyDescent="0.35">
      <c r="E31" s="121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  <c r="QI31" s="13"/>
      <c r="QJ31" s="13"/>
      <c r="QK31" s="13"/>
      <c r="QL31" s="13"/>
      <c r="QM31" s="13"/>
      <c r="QN31" s="13"/>
      <c r="QO31" s="13"/>
      <c r="QP31" s="13"/>
      <c r="QQ31" s="13"/>
      <c r="QR31" s="13"/>
      <c r="QS31" s="13"/>
      <c r="QT31" s="13"/>
      <c r="QU31" s="13"/>
      <c r="QV31" s="13"/>
      <c r="QW31" s="13"/>
      <c r="QX31" s="13"/>
      <c r="QY31" s="13"/>
      <c r="QZ31" s="13"/>
      <c r="RA31" s="13"/>
      <c r="RB31" s="13"/>
      <c r="RC31" s="13"/>
      <c r="RD31" s="13"/>
      <c r="RE31" s="13"/>
      <c r="RF31" s="13"/>
      <c r="RG31" s="13"/>
      <c r="RH31" s="13"/>
      <c r="RI31" s="13"/>
      <c r="RJ31" s="13"/>
      <c r="RK31" s="13"/>
      <c r="RL31" s="13"/>
      <c r="RM31" s="13"/>
      <c r="RN31" s="13"/>
      <c r="RO31" s="13"/>
      <c r="RP31" s="13"/>
      <c r="RQ31" s="13"/>
      <c r="RR31" s="13"/>
      <c r="RS31" s="13"/>
      <c r="RT31" s="13"/>
      <c r="RU31" s="13"/>
      <c r="RV31" s="13"/>
      <c r="RW31" s="13"/>
      <c r="RX31" s="13"/>
      <c r="RY31" s="13"/>
      <c r="RZ31" s="13"/>
      <c r="SA31" s="13"/>
      <c r="SB31" s="13"/>
      <c r="SC31" s="13"/>
      <c r="SD31" s="13"/>
      <c r="SE31" s="13"/>
      <c r="SF31" s="13"/>
      <c r="SG31" s="13"/>
      <c r="SH31" s="13"/>
      <c r="SI31" s="13"/>
      <c r="SJ31" s="13"/>
      <c r="SK31" s="13"/>
      <c r="SL31" s="13"/>
      <c r="SM31" s="13"/>
      <c r="SN31" s="13"/>
      <c r="SO31" s="13"/>
      <c r="SP31" s="13"/>
      <c r="SQ31" s="13"/>
      <c r="SR31" s="13"/>
      <c r="SS31" s="13"/>
      <c r="ST31" s="13"/>
      <c r="SU31" s="13"/>
      <c r="SV31" s="13"/>
      <c r="SW31" s="13"/>
      <c r="SX31" s="13"/>
      <c r="SY31" s="13"/>
      <c r="SZ31" s="13"/>
      <c r="TA31" s="13"/>
      <c r="TB31" s="13"/>
      <c r="TC31" s="13"/>
      <c r="TD31" s="13"/>
      <c r="TE31" s="13"/>
      <c r="TF31" s="13"/>
      <c r="TG31" s="13"/>
      <c r="TH31" s="13"/>
      <c r="TI31" s="13"/>
      <c r="TJ31" s="13"/>
      <c r="TK31" s="13"/>
      <c r="TL31" s="13"/>
      <c r="TM31" s="13"/>
      <c r="TN31" s="13"/>
      <c r="TO31" s="13"/>
      <c r="TP31" s="13"/>
      <c r="TQ31" s="13"/>
      <c r="TR31" s="13"/>
      <c r="TS31" s="13"/>
      <c r="TT31" s="13"/>
      <c r="TU31" s="13"/>
      <c r="TV31" s="13"/>
      <c r="TW31" s="13"/>
      <c r="TX31" s="13"/>
      <c r="TY31" s="13"/>
      <c r="TZ31" s="13"/>
      <c r="UA31" s="13"/>
      <c r="UB31" s="13"/>
      <c r="UC31" s="13"/>
      <c r="UD31" s="13"/>
      <c r="UE31" s="13"/>
      <c r="UF31" s="13"/>
      <c r="UG31" s="13"/>
      <c r="UH31" s="13"/>
      <c r="UI31" s="13"/>
      <c r="UJ31" s="13"/>
      <c r="UK31" s="13"/>
      <c r="UL31" s="13"/>
      <c r="UM31" s="13"/>
      <c r="UN31" s="13"/>
      <c r="UO31" s="13"/>
      <c r="UP31" s="13"/>
      <c r="UQ31" s="13"/>
      <c r="UR31" s="13"/>
      <c r="US31" s="13"/>
      <c r="UT31" s="13"/>
      <c r="UU31" s="13"/>
      <c r="UV31" s="13"/>
      <c r="UW31" s="13"/>
      <c r="UX31" s="13"/>
      <c r="UY31" s="13"/>
      <c r="UZ31" s="13"/>
      <c r="VA31" s="13"/>
      <c r="VB31" s="13"/>
      <c r="VC31" s="13"/>
      <c r="VD31" s="13"/>
      <c r="VE31" s="13"/>
      <c r="VF31" s="13"/>
      <c r="VG31" s="13"/>
      <c r="VH31" s="13"/>
      <c r="VI31" s="13"/>
      <c r="VJ31" s="13"/>
      <c r="VK31" s="13"/>
      <c r="VL31" s="13"/>
      <c r="VM31" s="13"/>
      <c r="VN31" s="13"/>
      <c r="VO31" s="13"/>
      <c r="VP31" s="13"/>
      <c r="VQ31" s="13"/>
      <c r="VR31" s="13"/>
      <c r="VS31" s="13"/>
      <c r="VT31" s="13"/>
      <c r="VU31" s="13"/>
      <c r="VV31" s="13"/>
      <c r="VW31" s="13"/>
      <c r="VX31" s="13"/>
      <c r="VY31" s="13"/>
      <c r="VZ31" s="13"/>
      <c r="WA31" s="13"/>
      <c r="WB31" s="13"/>
      <c r="WC31" s="13"/>
      <c r="WD31" s="13"/>
      <c r="WE31" s="13"/>
      <c r="WF31" s="13"/>
      <c r="WG31" s="13"/>
      <c r="WH31" s="13"/>
      <c r="WI31" s="13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3"/>
      <c r="WY31" s="13"/>
      <c r="WZ31" s="13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13"/>
      <c r="XQ31" s="13"/>
      <c r="XR31" s="13"/>
      <c r="XS31" s="13"/>
      <c r="XT31" s="13"/>
      <c r="XU31" s="13"/>
      <c r="XV31" s="13"/>
      <c r="XW31" s="13"/>
      <c r="XX31" s="13"/>
      <c r="XY31" s="13"/>
      <c r="XZ31" s="13"/>
      <c r="YA31" s="13"/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13"/>
      <c r="YO31" s="13"/>
      <c r="YP31" s="13"/>
      <c r="YQ31" s="13"/>
      <c r="YR31" s="13"/>
      <c r="YS31" s="13"/>
      <c r="YT31" s="13"/>
      <c r="YU31" s="13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  <c r="AAM31" s="13"/>
      <c r="AAN31" s="13"/>
      <c r="AAO31" s="13"/>
      <c r="AAP31" s="13"/>
      <c r="AAQ31" s="13"/>
      <c r="AAR31" s="13"/>
      <c r="AAS31" s="13"/>
      <c r="AAT31" s="13"/>
      <c r="AAU31" s="13"/>
      <c r="AAV31" s="13"/>
      <c r="AAW31" s="13"/>
      <c r="AAX31" s="13"/>
      <c r="AAY31" s="13"/>
      <c r="AAZ31" s="13"/>
      <c r="ABA31" s="13"/>
      <c r="ABB31" s="13"/>
      <c r="ABC31" s="13"/>
      <c r="ABD31" s="13"/>
      <c r="ABE31" s="13"/>
      <c r="ABF31" s="13"/>
      <c r="ABG31" s="13"/>
      <c r="ABH31" s="13"/>
      <c r="ABI31" s="13"/>
      <c r="ABJ31" s="13"/>
      <c r="ABK31" s="13"/>
      <c r="ABL31" s="13"/>
      <c r="ABM31" s="13"/>
      <c r="ABN31" s="13"/>
      <c r="ABO31" s="13"/>
      <c r="ABP31" s="13"/>
      <c r="ABQ31" s="13"/>
      <c r="ABR31" s="13"/>
      <c r="ABS31" s="13"/>
      <c r="ABT31" s="13"/>
      <c r="ABU31" s="13"/>
      <c r="ABV31" s="13"/>
      <c r="ABW31" s="13"/>
      <c r="ABX31" s="13"/>
      <c r="ABY31" s="13"/>
      <c r="ABZ31" s="13"/>
      <c r="ACA31" s="13"/>
      <c r="ACB31" s="13"/>
      <c r="ACC31" s="13"/>
      <c r="ACD31" s="13"/>
      <c r="ACE31" s="13"/>
      <c r="ACF31" s="13"/>
      <c r="ACG31" s="13"/>
      <c r="ACH31" s="13"/>
      <c r="ACI31" s="13"/>
      <c r="ACJ31" s="13"/>
      <c r="ACK31" s="13"/>
      <c r="ACL31" s="13"/>
      <c r="ACM31" s="13"/>
      <c r="ACN31" s="13"/>
      <c r="ACO31" s="13"/>
      <c r="ACP31" s="13"/>
      <c r="ACQ31" s="13"/>
      <c r="ACR31" s="13"/>
      <c r="ACS31" s="13"/>
      <c r="ACT31" s="13"/>
      <c r="ACU31" s="13"/>
      <c r="ACV31" s="13"/>
      <c r="ACW31" s="13"/>
      <c r="ACX31" s="13"/>
      <c r="ACY31" s="13"/>
      <c r="ACZ31" s="13"/>
      <c r="ADA31" s="13"/>
      <c r="ADB31" s="13"/>
      <c r="ADC31" s="13"/>
      <c r="ADD31" s="13"/>
      <c r="ADE31" s="13"/>
      <c r="ADF31" s="13"/>
      <c r="ADG31" s="13"/>
      <c r="ADH31" s="13"/>
      <c r="ADI31" s="13"/>
      <c r="ADJ31" s="13"/>
      <c r="ADK31" s="13"/>
      <c r="ADL31" s="13"/>
      <c r="ADM31" s="13"/>
      <c r="ADN31" s="13"/>
      <c r="ADO31" s="13"/>
      <c r="ADP31" s="13"/>
      <c r="ADQ31" s="13"/>
      <c r="ADR31" s="13"/>
      <c r="ADS31" s="13"/>
      <c r="ADT31" s="13"/>
      <c r="ADU31" s="13"/>
      <c r="ADV31" s="13"/>
      <c r="ADW31" s="13"/>
      <c r="ADX31" s="13"/>
      <c r="ADY31" s="13"/>
      <c r="ADZ31" s="13"/>
      <c r="AEA31" s="13"/>
      <c r="AEB31" s="13"/>
      <c r="AEC31" s="13"/>
      <c r="AED31" s="13"/>
      <c r="AEE31" s="13"/>
      <c r="AEF31" s="13"/>
      <c r="AEG31" s="13"/>
      <c r="AEH31" s="13"/>
      <c r="AEI31" s="13"/>
      <c r="AEJ31" s="13"/>
      <c r="AEK31" s="13"/>
      <c r="AEL31" s="13"/>
      <c r="AEM31" s="13"/>
      <c r="AEN31" s="13"/>
      <c r="AEO31" s="13"/>
      <c r="AEP31" s="13"/>
      <c r="AEQ31" s="13"/>
      <c r="AER31" s="13"/>
      <c r="AES31" s="13"/>
      <c r="AET31" s="13"/>
      <c r="AEU31" s="13"/>
      <c r="AEV31" s="13"/>
      <c r="AEW31" s="13"/>
      <c r="AEX31" s="13"/>
      <c r="AEY31" s="13"/>
      <c r="AEZ31" s="13"/>
      <c r="AFA31" s="13"/>
      <c r="AFB31" s="13"/>
      <c r="AFC31" s="13"/>
      <c r="AFD31" s="13"/>
      <c r="AFE31" s="13"/>
      <c r="AFF31" s="13"/>
      <c r="AFG31" s="13"/>
      <c r="AFH31" s="13"/>
      <c r="AFI31" s="13"/>
      <c r="AFJ31" s="13"/>
      <c r="AFK31" s="13"/>
      <c r="AFL31" s="13"/>
      <c r="AFM31" s="13"/>
      <c r="AFN31" s="13"/>
      <c r="AFO31" s="13"/>
      <c r="AFP31" s="13"/>
      <c r="AFQ31" s="13"/>
      <c r="AFR31" s="13"/>
      <c r="AFS31" s="13"/>
      <c r="AFT31" s="13"/>
      <c r="AFU31" s="13"/>
      <c r="AFV31" s="13"/>
      <c r="AFW31" s="13"/>
      <c r="AFX31" s="13"/>
      <c r="AFY31" s="13"/>
      <c r="AFZ31" s="13"/>
      <c r="AGA31" s="13"/>
      <c r="AGB31" s="13"/>
      <c r="AGC31" s="13"/>
      <c r="AGD31" s="13"/>
      <c r="AGE31" s="13"/>
      <c r="AGF31" s="13"/>
      <c r="AGG31" s="13"/>
      <c r="AGH31" s="13"/>
      <c r="AGI31" s="13"/>
      <c r="AGJ31" s="13"/>
      <c r="AGK31" s="13"/>
      <c r="AGL31" s="13"/>
      <c r="AGM31" s="13"/>
      <c r="AGN31" s="13"/>
      <c r="AGO31" s="13"/>
      <c r="AGP31" s="13"/>
      <c r="AGQ31" s="13"/>
      <c r="AGR31" s="13"/>
      <c r="AGS31" s="13"/>
      <c r="AGT31" s="13"/>
      <c r="AGU31" s="13"/>
      <c r="AGV31" s="13"/>
      <c r="AGW31" s="13"/>
      <c r="AGX31" s="13"/>
      <c r="AGY31" s="13"/>
      <c r="AGZ31" s="13"/>
      <c r="AHA31" s="13"/>
      <c r="AHB31" s="13"/>
      <c r="AHC31" s="13"/>
      <c r="AHD31" s="13"/>
      <c r="AHE31" s="13"/>
      <c r="AHF31" s="13"/>
      <c r="AHG31" s="13"/>
      <c r="AHH31" s="13"/>
      <c r="AHI31" s="13"/>
      <c r="AHJ31" s="13"/>
      <c r="AHK31" s="13"/>
      <c r="AHL31" s="13"/>
      <c r="AHM31" s="13"/>
      <c r="AHN31" s="13"/>
      <c r="AHO31" s="13"/>
      <c r="AHP31" s="13"/>
      <c r="AHQ31" s="13"/>
      <c r="AHR31" s="13"/>
      <c r="AHS31" s="13"/>
      <c r="AHT31" s="13"/>
      <c r="AHU31" s="13"/>
      <c r="AHV31" s="13"/>
      <c r="AHW31" s="13"/>
      <c r="AHX31" s="13"/>
      <c r="AHY31" s="13"/>
      <c r="AHZ31" s="13"/>
      <c r="AIA31" s="13"/>
      <c r="AIB31" s="13"/>
      <c r="AIC31" s="13"/>
      <c r="AID31" s="13"/>
      <c r="AIE31" s="13"/>
      <c r="AIF31" s="13"/>
      <c r="AIG31" s="13"/>
      <c r="AIH31" s="13"/>
      <c r="AII31" s="13"/>
      <c r="AIJ31" s="13"/>
      <c r="AIK31" s="13"/>
      <c r="AIL31" s="13"/>
      <c r="AIM31" s="13"/>
      <c r="AIN31" s="13"/>
      <c r="AIO31" s="13"/>
      <c r="AIP31" s="13"/>
      <c r="AIQ31" s="13"/>
      <c r="AIR31" s="13"/>
      <c r="AIS31" s="13"/>
      <c r="AIT31" s="13"/>
      <c r="AIU31" s="13"/>
      <c r="AIV31" s="13"/>
      <c r="AIW31" s="13"/>
      <c r="AIX31" s="13"/>
      <c r="AIY31" s="13"/>
      <c r="AIZ31" s="13"/>
      <c r="AJA31" s="13"/>
      <c r="AJB31" s="13"/>
      <c r="AJC31" s="13"/>
      <c r="AJD31" s="13"/>
      <c r="AJE31" s="13"/>
      <c r="AJF31" s="13"/>
      <c r="AJG31" s="13"/>
      <c r="AJH31" s="13"/>
      <c r="AJI31" s="13"/>
      <c r="AJJ31" s="13"/>
      <c r="AJK31" s="13"/>
      <c r="AJL31" s="13"/>
      <c r="AJM31" s="13"/>
      <c r="AJN31" s="13"/>
      <c r="AJO31" s="13"/>
      <c r="AJP31" s="13"/>
      <c r="AJQ31" s="13"/>
      <c r="AJR31" s="13"/>
      <c r="AJS31" s="13"/>
      <c r="AJT31" s="13"/>
      <c r="AJU31" s="13"/>
      <c r="AJV31" s="13"/>
      <c r="AJW31" s="13"/>
      <c r="AJX31" s="13"/>
      <c r="AJY31" s="13"/>
      <c r="AJZ31" s="13"/>
      <c r="AKA31" s="13"/>
      <c r="AKB31" s="13"/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  <c r="AKR31" s="13"/>
      <c r="AKS31" s="13"/>
      <c r="AKT31" s="13"/>
      <c r="AKU31" s="13"/>
      <c r="AKV31" s="13"/>
      <c r="AKW31" s="13"/>
      <c r="AKX31" s="13"/>
      <c r="AKY31" s="13"/>
      <c r="AKZ31" s="13"/>
      <c r="ALA31" s="13"/>
      <c r="ALB31" s="13"/>
      <c r="ALC31" s="13"/>
      <c r="ALD31" s="13"/>
      <c r="ALE31" s="13"/>
      <c r="ALF31" s="13"/>
      <c r="ALG31" s="13"/>
      <c r="ALH31" s="13"/>
      <c r="ALI31" s="13"/>
      <c r="ALJ31" s="13"/>
      <c r="ALK31" s="13"/>
      <c r="ALL31" s="13"/>
      <c r="ALM31" s="13"/>
      <c r="ALN31" s="13"/>
      <c r="ALO31" s="13"/>
    </row>
    <row r="32" spans="1:1012" s="18" customFormat="1" x14ac:dyDescent="0.35">
      <c r="A32" s="18" t="str">
        <f>+PL!A22</f>
        <v>Figures in brackets indicate deductions.</v>
      </c>
      <c r="E32" s="20"/>
      <c r="F32" s="21"/>
      <c r="G32" s="22">
        <f>G15-G30</f>
        <v>2935213.6780821919</v>
      </c>
      <c r="H32" s="2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</row>
    <row r="33" spans="1:1012" s="18" customFormat="1" x14ac:dyDescent="0.35">
      <c r="E33" s="20"/>
      <c r="G33" s="8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</row>
    <row r="34" spans="1:1012" s="18" customFormat="1" ht="16.5" customHeight="1" x14ac:dyDescent="0.35">
      <c r="A34" s="18" t="str">
        <f>+PL!A24</f>
        <v>The Notes on pages 06 to 11 form an integral part of these Financial Statements.</v>
      </c>
      <c r="E34" s="2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</row>
    <row r="35" spans="1:1012" s="18" customFormat="1" x14ac:dyDescent="0.35">
      <c r="E35" s="2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</row>
    <row r="36" spans="1:1012" s="18" customFormat="1" ht="15" customHeight="1" x14ac:dyDescent="0.35">
      <c r="A36" s="149" t="s">
        <v>43</v>
      </c>
      <c r="B36" s="149"/>
      <c r="C36" s="149"/>
      <c r="D36" s="149"/>
      <c r="E36" s="24"/>
      <c r="F36" s="149"/>
      <c r="G36" s="149"/>
      <c r="H36" s="14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</row>
    <row r="37" spans="1:1012" s="18" customFormat="1" ht="15" customHeight="1" x14ac:dyDescent="0.35">
      <c r="A37" s="149"/>
      <c r="B37" s="149"/>
      <c r="C37" s="149"/>
      <c r="D37" s="149"/>
      <c r="E37" s="24"/>
      <c r="F37" s="149"/>
      <c r="G37" s="149"/>
      <c r="H37" s="149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</row>
    <row r="38" spans="1:1012" s="18" customFormat="1" ht="15" customHeight="1" x14ac:dyDescent="0.35">
      <c r="A38" s="150"/>
      <c r="B38" s="150"/>
      <c r="C38" s="150"/>
      <c r="D38" s="150"/>
      <c r="E38" s="25"/>
      <c r="F38" s="150"/>
      <c r="G38" s="150"/>
      <c r="H38" s="15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</row>
    <row r="39" spans="1:1012" s="18" customFormat="1" ht="15" customHeight="1" x14ac:dyDescent="0.35">
      <c r="A39" s="18" t="s">
        <v>44</v>
      </c>
      <c r="E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</row>
    <row r="40" spans="1:1012" s="18" customFormat="1" ht="15" customHeight="1" x14ac:dyDescent="0.35">
      <c r="A40" s="18" t="s">
        <v>45</v>
      </c>
      <c r="E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</row>
    <row r="41" spans="1:1012" s="18" customFormat="1" ht="15" customHeight="1" x14ac:dyDescent="0.35">
      <c r="E41" s="2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</row>
    <row r="42" spans="1:1012" s="18" customFormat="1" ht="15" customHeight="1" x14ac:dyDescent="0.35">
      <c r="A42" s="149" t="s">
        <v>46</v>
      </c>
      <c r="B42" s="151"/>
      <c r="C42" s="151"/>
      <c r="D42" s="151"/>
      <c r="E42" s="26"/>
      <c r="F42" s="151"/>
      <c r="G42" s="151"/>
      <c r="H42" s="15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</row>
    <row r="43" spans="1:1012" s="18" customFormat="1" x14ac:dyDescent="0.35">
      <c r="A43" s="149" t="s">
        <v>47</v>
      </c>
      <c r="B43" s="151"/>
      <c r="C43" s="151"/>
      <c r="D43" s="151"/>
      <c r="E43" s="26"/>
      <c r="F43" s="151"/>
      <c r="G43" s="151"/>
      <c r="H43" s="15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</row>
    <row r="44" spans="1:1012" s="18" customFormat="1" x14ac:dyDescent="0.35">
      <c r="A44" s="149"/>
      <c r="B44" s="151"/>
      <c r="C44" s="151"/>
      <c r="D44" s="151"/>
      <c r="E44" s="26"/>
      <c r="F44" s="151"/>
      <c r="G44" s="151"/>
      <c r="H44" s="15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</row>
    <row r="45" spans="1:1012" s="18" customFormat="1" x14ac:dyDescent="0.35">
      <c r="A45" s="149"/>
      <c r="B45" s="151"/>
      <c r="C45" s="151"/>
      <c r="D45" s="151"/>
      <c r="E45" s="26"/>
      <c r="F45" s="151"/>
      <c r="G45" s="151"/>
      <c r="H45" s="15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</row>
    <row r="46" spans="1:1012" x14ac:dyDescent="0.35">
      <c r="A46" s="18"/>
      <c r="B46" s="18"/>
      <c r="C46" s="18"/>
      <c r="D46" s="18"/>
      <c r="E46" s="20"/>
      <c r="F46" s="18"/>
      <c r="G46" s="18"/>
      <c r="H46" s="18"/>
      <c r="I46" s="18"/>
    </row>
    <row r="47" spans="1:1012" x14ac:dyDescent="0.35">
      <c r="A47" s="27" t="s">
        <v>48</v>
      </c>
      <c r="B47" s="18"/>
      <c r="C47" s="18"/>
      <c r="D47" s="27" t="s">
        <v>48</v>
      </c>
      <c r="F47" s="18"/>
      <c r="H47" s="18"/>
      <c r="I47" s="18"/>
    </row>
    <row r="48" spans="1:1012" x14ac:dyDescent="0.35">
      <c r="A48" s="28" t="s">
        <v>49</v>
      </c>
      <c r="B48" s="18"/>
      <c r="C48" s="18"/>
      <c r="D48" s="28" t="s">
        <v>49</v>
      </c>
      <c r="F48" s="18"/>
      <c r="H48" s="18"/>
      <c r="I48" s="18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13"/>
      <c r="QL48" s="13"/>
      <c r="QM48" s="13"/>
      <c r="QN48" s="13"/>
      <c r="QO48" s="13"/>
      <c r="QP48" s="13"/>
      <c r="QQ48" s="13"/>
      <c r="QR48" s="13"/>
      <c r="QS48" s="13"/>
      <c r="QT48" s="13"/>
      <c r="QU48" s="13"/>
      <c r="QV48" s="13"/>
      <c r="QW48" s="13"/>
      <c r="QX48" s="13"/>
      <c r="QY48" s="13"/>
      <c r="QZ48" s="13"/>
      <c r="RA48" s="13"/>
      <c r="RB48" s="13"/>
      <c r="RC48" s="13"/>
      <c r="RD48" s="13"/>
      <c r="RE48" s="13"/>
      <c r="RF48" s="13"/>
      <c r="RG48" s="13"/>
      <c r="RH48" s="13"/>
      <c r="RI48" s="13"/>
      <c r="RJ48" s="13"/>
      <c r="RK48" s="13"/>
      <c r="RL48" s="13"/>
      <c r="RM48" s="13"/>
      <c r="RN48" s="13"/>
      <c r="RO48" s="13"/>
      <c r="RP48" s="13"/>
      <c r="RQ48" s="13"/>
      <c r="RR48" s="13"/>
      <c r="RS48" s="13"/>
      <c r="RT48" s="13"/>
      <c r="RU48" s="13"/>
      <c r="RV48" s="13"/>
      <c r="RW48" s="13"/>
      <c r="RX48" s="13"/>
      <c r="RY48" s="13"/>
      <c r="RZ48" s="13"/>
      <c r="SA48" s="13"/>
      <c r="SB48" s="13"/>
      <c r="SC48" s="13"/>
      <c r="SD48" s="13"/>
      <c r="SE48" s="13"/>
      <c r="SF48" s="13"/>
      <c r="SG48" s="13"/>
      <c r="SH48" s="13"/>
      <c r="SI48" s="13"/>
      <c r="SJ48" s="13"/>
      <c r="SK48" s="13"/>
      <c r="SL48" s="13"/>
      <c r="SM48" s="13"/>
      <c r="SN48" s="13"/>
      <c r="SO48" s="13"/>
      <c r="SP48" s="13"/>
      <c r="SQ48" s="13"/>
      <c r="SR48" s="13"/>
      <c r="SS48" s="13"/>
      <c r="ST48" s="13"/>
      <c r="SU48" s="13"/>
      <c r="SV48" s="13"/>
      <c r="SW48" s="13"/>
      <c r="SX48" s="13"/>
      <c r="SY48" s="13"/>
      <c r="SZ48" s="13"/>
      <c r="TA48" s="13"/>
      <c r="TB48" s="13"/>
      <c r="TC48" s="13"/>
      <c r="TD48" s="13"/>
      <c r="TE48" s="13"/>
      <c r="TF48" s="13"/>
      <c r="TG48" s="13"/>
      <c r="TH48" s="13"/>
      <c r="TI48" s="13"/>
      <c r="TJ48" s="13"/>
      <c r="TK48" s="13"/>
      <c r="TL48" s="13"/>
      <c r="TM48" s="13"/>
      <c r="TN48" s="13"/>
      <c r="TO48" s="13"/>
      <c r="TP48" s="13"/>
      <c r="TQ48" s="13"/>
      <c r="TR48" s="13"/>
      <c r="TS48" s="13"/>
      <c r="TT48" s="13"/>
      <c r="TU48" s="13"/>
      <c r="TV48" s="13"/>
      <c r="TW48" s="13"/>
      <c r="TX48" s="13"/>
      <c r="TY48" s="13"/>
      <c r="TZ48" s="13"/>
      <c r="UA48" s="13"/>
      <c r="UB48" s="13"/>
      <c r="UC48" s="13"/>
      <c r="UD48" s="13"/>
      <c r="UE48" s="13"/>
      <c r="UF48" s="13"/>
      <c r="UG48" s="13"/>
      <c r="UH48" s="13"/>
      <c r="UI48" s="13"/>
      <c r="UJ48" s="13"/>
      <c r="UK48" s="13"/>
      <c r="UL48" s="13"/>
      <c r="UM48" s="13"/>
      <c r="UN48" s="13"/>
      <c r="UO48" s="13"/>
      <c r="UP48" s="13"/>
      <c r="UQ48" s="13"/>
      <c r="UR48" s="13"/>
      <c r="US48" s="13"/>
      <c r="UT48" s="13"/>
      <c r="UU48" s="13"/>
      <c r="UV48" s="13"/>
      <c r="UW48" s="13"/>
      <c r="UX48" s="13"/>
      <c r="UY48" s="13"/>
      <c r="UZ48" s="13"/>
      <c r="VA48" s="13"/>
      <c r="VB48" s="13"/>
      <c r="VC48" s="13"/>
      <c r="VD48" s="13"/>
      <c r="VE48" s="13"/>
      <c r="VF48" s="13"/>
      <c r="VG48" s="13"/>
      <c r="VH48" s="13"/>
      <c r="VI48" s="13"/>
      <c r="VJ48" s="13"/>
      <c r="VK48" s="13"/>
      <c r="VL48" s="13"/>
      <c r="VM48" s="13"/>
      <c r="VN48" s="13"/>
      <c r="VO48" s="13"/>
      <c r="VP48" s="13"/>
      <c r="VQ48" s="13"/>
      <c r="VR48" s="13"/>
      <c r="VS48" s="13"/>
      <c r="VT48" s="13"/>
      <c r="VU48" s="13"/>
      <c r="VV48" s="13"/>
      <c r="VW48" s="13"/>
      <c r="VX48" s="13"/>
      <c r="VY48" s="13"/>
      <c r="VZ48" s="13"/>
      <c r="WA48" s="13"/>
      <c r="WB48" s="13"/>
      <c r="WC48" s="13"/>
      <c r="WD48" s="13"/>
      <c r="WE48" s="13"/>
      <c r="WF48" s="13"/>
      <c r="WG48" s="13"/>
      <c r="WH48" s="13"/>
      <c r="WI48" s="13"/>
      <c r="WJ48" s="13"/>
      <c r="WK48" s="13"/>
      <c r="WL48" s="13"/>
      <c r="WM48" s="13"/>
      <c r="WN48" s="13"/>
      <c r="WO48" s="13"/>
      <c r="WP48" s="13"/>
      <c r="WQ48" s="13"/>
      <c r="WR48" s="13"/>
      <c r="WS48" s="13"/>
      <c r="WT48" s="13"/>
      <c r="WU48" s="13"/>
      <c r="WV48" s="13"/>
      <c r="WW48" s="13"/>
      <c r="WX48" s="13"/>
      <c r="WY48" s="13"/>
      <c r="WZ48" s="13"/>
      <c r="XA48" s="13"/>
      <c r="XB48" s="13"/>
      <c r="XC48" s="13"/>
      <c r="XD48" s="13"/>
      <c r="XE48" s="13"/>
      <c r="XF48" s="13"/>
      <c r="XG48" s="13"/>
      <c r="XH48" s="13"/>
      <c r="XI48" s="13"/>
      <c r="XJ48" s="13"/>
      <c r="XK48" s="13"/>
      <c r="XL48" s="13"/>
      <c r="XM48" s="13"/>
      <c r="XN48" s="13"/>
      <c r="XO48" s="13"/>
      <c r="XP48" s="13"/>
      <c r="XQ48" s="13"/>
      <c r="XR48" s="13"/>
      <c r="XS48" s="13"/>
      <c r="XT48" s="13"/>
      <c r="XU48" s="13"/>
      <c r="XV48" s="13"/>
      <c r="XW48" s="13"/>
      <c r="XX48" s="13"/>
      <c r="XY48" s="13"/>
      <c r="XZ48" s="13"/>
      <c r="YA48" s="13"/>
      <c r="YB48" s="13"/>
      <c r="YC48" s="13"/>
      <c r="YD48" s="13"/>
      <c r="YE48" s="13"/>
      <c r="YF48" s="13"/>
      <c r="YG48" s="13"/>
      <c r="YH48" s="13"/>
      <c r="YI48" s="13"/>
      <c r="YJ48" s="13"/>
      <c r="YK48" s="13"/>
      <c r="YL48" s="13"/>
      <c r="YM48" s="13"/>
      <c r="YN48" s="13"/>
      <c r="YO48" s="13"/>
      <c r="YP48" s="13"/>
      <c r="YQ48" s="13"/>
      <c r="YR48" s="13"/>
      <c r="YS48" s="13"/>
      <c r="YT48" s="13"/>
      <c r="YU48" s="13"/>
      <c r="YV48" s="13"/>
      <c r="YW48" s="13"/>
      <c r="YX48" s="13"/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  <c r="ZQ48" s="13"/>
      <c r="ZR48" s="13"/>
      <c r="ZS48" s="13"/>
      <c r="ZT48" s="13"/>
      <c r="ZU48" s="13"/>
      <c r="ZV48" s="13"/>
      <c r="ZW48" s="13"/>
      <c r="ZX48" s="13"/>
      <c r="ZY48" s="13"/>
      <c r="ZZ48" s="13"/>
      <c r="AAA48" s="13"/>
      <c r="AAB48" s="13"/>
      <c r="AAC48" s="13"/>
      <c r="AAD48" s="13"/>
      <c r="AAE48" s="13"/>
      <c r="AAF48" s="13"/>
      <c r="AAG48" s="13"/>
      <c r="AAH48" s="13"/>
      <c r="AAI48" s="13"/>
      <c r="AAJ48" s="13"/>
      <c r="AAK48" s="13"/>
      <c r="AAL48" s="13"/>
      <c r="AAM48" s="13"/>
      <c r="AAN48" s="13"/>
      <c r="AAO48" s="13"/>
      <c r="AAP48" s="13"/>
      <c r="AAQ48" s="13"/>
      <c r="AAR48" s="13"/>
      <c r="AAS48" s="13"/>
      <c r="AAT48" s="13"/>
      <c r="AAU48" s="13"/>
      <c r="AAV48" s="13"/>
      <c r="AAW48" s="13"/>
      <c r="AAX48" s="13"/>
      <c r="AAY48" s="13"/>
      <c r="AAZ48" s="13"/>
      <c r="ABA48" s="13"/>
      <c r="ABB48" s="13"/>
      <c r="ABC48" s="13"/>
      <c r="ABD48" s="13"/>
      <c r="ABE48" s="13"/>
      <c r="ABF48" s="13"/>
      <c r="ABG48" s="13"/>
      <c r="ABH48" s="13"/>
      <c r="ABI48" s="13"/>
      <c r="ABJ48" s="13"/>
      <c r="ABK48" s="13"/>
      <c r="ABL48" s="13"/>
      <c r="ABM48" s="13"/>
      <c r="ABN48" s="13"/>
      <c r="ABO48" s="13"/>
      <c r="ABP48" s="13"/>
      <c r="ABQ48" s="13"/>
      <c r="ABR48" s="13"/>
      <c r="ABS48" s="13"/>
      <c r="ABT48" s="13"/>
      <c r="ABU48" s="13"/>
      <c r="ABV48" s="13"/>
      <c r="ABW48" s="13"/>
      <c r="ABX48" s="13"/>
      <c r="ABY48" s="13"/>
      <c r="ABZ48" s="13"/>
      <c r="ACA48" s="13"/>
      <c r="ACB48" s="13"/>
      <c r="ACC48" s="13"/>
      <c r="ACD48" s="13"/>
      <c r="ACE48" s="13"/>
      <c r="ACF48" s="13"/>
      <c r="ACG48" s="13"/>
      <c r="ACH48" s="13"/>
      <c r="ACI48" s="13"/>
      <c r="ACJ48" s="13"/>
      <c r="ACK48" s="13"/>
      <c r="ACL48" s="13"/>
      <c r="ACM48" s="13"/>
      <c r="ACN48" s="13"/>
      <c r="ACO48" s="13"/>
      <c r="ACP48" s="13"/>
      <c r="ACQ48" s="13"/>
      <c r="ACR48" s="13"/>
      <c r="ACS48" s="13"/>
      <c r="ACT48" s="13"/>
      <c r="ACU48" s="13"/>
      <c r="ACV48" s="13"/>
      <c r="ACW48" s="13"/>
      <c r="ACX48" s="13"/>
      <c r="ACY48" s="13"/>
      <c r="ACZ48" s="13"/>
      <c r="ADA48" s="13"/>
      <c r="ADB48" s="13"/>
      <c r="ADC48" s="13"/>
      <c r="ADD48" s="13"/>
      <c r="ADE48" s="13"/>
      <c r="ADF48" s="13"/>
      <c r="ADG48" s="13"/>
      <c r="ADH48" s="13"/>
      <c r="ADI48" s="13"/>
      <c r="ADJ48" s="13"/>
      <c r="ADK48" s="13"/>
      <c r="ADL48" s="13"/>
      <c r="ADM48" s="13"/>
      <c r="ADN48" s="13"/>
      <c r="ADO48" s="13"/>
      <c r="ADP48" s="13"/>
      <c r="ADQ48" s="13"/>
      <c r="ADR48" s="13"/>
      <c r="ADS48" s="13"/>
      <c r="ADT48" s="13"/>
      <c r="ADU48" s="13"/>
      <c r="ADV48" s="13"/>
      <c r="ADW48" s="13"/>
      <c r="ADX48" s="13"/>
      <c r="ADY48" s="13"/>
      <c r="ADZ48" s="13"/>
      <c r="AEA48" s="13"/>
      <c r="AEB48" s="13"/>
      <c r="AEC48" s="13"/>
      <c r="AED48" s="13"/>
      <c r="AEE48" s="13"/>
      <c r="AEF48" s="13"/>
      <c r="AEG48" s="13"/>
      <c r="AEH48" s="13"/>
      <c r="AEI48" s="13"/>
      <c r="AEJ48" s="13"/>
      <c r="AEK48" s="13"/>
      <c r="AEL48" s="13"/>
      <c r="AEM48" s="13"/>
      <c r="AEN48" s="13"/>
      <c r="AEO48" s="13"/>
      <c r="AEP48" s="13"/>
      <c r="AEQ48" s="13"/>
      <c r="AER48" s="13"/>
      <c r="AES48" s="13"/>
      <c r="AET48" s="13"/>
      <c r="AEU48" s="13"/>
      <c r="AEV48" s="13"/>
      <c r="AEW48" s="13"/>
      <c r="AEX48" s="13"/>
      <c r="AEY48" s="13"/>
      <c r="AEZ48" s="13"/>
      <c r="AFA48" s="13"/>
      <c r="AFB48" s="13"/>
      <c r="AFC48" s="13"/>
      <c r="AFD48" s="13"/>
      <c r="AFE48" s="13"/>
      <c r="AFF48" s="13"/>
      <c r="AFG48" s="13"/>
      <c r="AFH48" s="13"/>
      <c r="AFI48" s="13"/>
      <c r="AFJ48" s="13"/>
      <c r="AFK48" s="13"/>
      <c r="AFL48" s="13"/>
      <c r="AFM48" s="13"/>
      <c r="AFN48" s="13"/>
      <c r="AFO48" s="13"/>
      <c r="AFP48" s="13"/>
      <c r="AFQ48" s="13"/>
      <c r="AFR48" s="13"/>
      <c r="AFS48" s="13"/>
      <c r="AFT48" s="13"/>
      <c r="AFU48" s="13"/>
      <c r="AFV48" s="13"/>
      <c r="AFW48" s="13"/>
      <c r="AFX48" s="13"/>
      <c r="AFY48" s="13"/>
      <c r="AFZ48" s="13"/>
      <c r="AGA48" s="13"/>
      <c r="AGB48" s="13"/>
      <c r="AGC48" s="13"/>
      <c r="AGD48" s="13"/>
      <c r="AGE48" s="13"/>
      <c r="AGF48" s="13"/>
      <c r="AGG48" s="13"/>
      <c r="AGH48" s="13"/>
      <c r="AGI48" s="13"/>
      <c r="AGJ48" s="13"/>
      <c r="AGK48" s="13"/>
      <c r="AGL48" s="13"/>
      <c r="AGM48" s="13"/>
      <c r="AGN48" s="13"/>
      <c r="AGO48" s="13"/>
      <c r="AGP48" s="13"/>
      <c r="AGQ48" s="13"/>
      <c r="AGR48" s="13"/>
      <c r="AGS48" s="13"/>
      <c r="AGT48" s="13"/>
      <c r="AGU48" s="13"/>
      <c r="AGV48" s="13"/>
      <c r="AGW48" s="13"/>
      <c r="AGX48" s="13"/>
      <c r="AGY48" s="13"/>
      <c r="AGZ48" s="13"/>
      <c r="AHA48" s="13"/>
      <c r="AHB48" s="13"/>
      <c r="AHC48" s="13"/>
      <c r="AHD48" s="13"/>
      <c r="AHE48" s="13"/>
      <c r="AHF48" s="13"/>
      <c r="AHG48" s="13"/>
      <c r="AHH48" s="13"/>
      <c r="AHI48" s="13"/>
      <c r="AHJ48" s="13"/>
      <c r="AHK48" s="13"/>
      <c r="AHL48" s="13"/>
      <c r="AHM48" s="13"/>
      <c r="AHN48" s="13"/>
      <c r="AHO48" s="13"/>
      <c r="AHP48" s="13"/>
      <c r="AHQ48" s="13"/>
      <c r="AHR48" s="13"/>
      <c r="AHS48" s="13"/>
      <c r="AHT48" s="13"/>
      <c r="AHU48" s="13"/>
      <c r="AHV48" s="13"/>
      <c r="AHW48" s="13"/>
      <c r="AHX48" s="13"/>
      <c r="AHY48" s="13"/>
      <c r="AHZ48" s="13"/>
      <c r="AIA48" s="13"/>
      <c r="AIB48" s="13"/>
      <c r="AIC48" s="13"/>
      <c r="AID48" s="13"/>
      <c r="AIE48" s="13"/>
      <c r="AIF48" s="13"/>
      <c r="AIG48" s="13"/>
      <c r="AIH48" s="13"/>
      <c r="AII48" s="13"/>
      <c r="AIJ48" s="13"/>
      <c r="AIK48" s="13"/>
      <c r="AIL48" s="13"/>
      <c r="AIM48" s="13"/>
      <c r="AIN48" s="13"/>
      <c r="AIO48" s="13"/>
      <c r="AIP48" s="13"/>
      <c r="AIQ48" s="13"/>
      <c r="AIR48" s="13"/>
      <c r="AIS48" s="13"/>
      <c r="AIT48" s="13"/>
      <c r="AIU48" s="13"/>
      <c r="AIV48" s="13"/>
      <c r="AIW48" s="13"/>
      <c r="AIX48" s="13"/>
      <c r="AIY48" s="13"/>
      <c r="AIZ48" s="13"/>
      <c r="AJA48" s="13"/>
      <c r="AJB48" s="13"/>
      <c r="AJC48" s="13"/>
      <c r="AJD48" s="13"/>
      <c r="AJE48" s="13"/>
      <c r="AJF48" s="13"/>
      <c r="AJG48" s="13"/>
      <c r="AJH48" s="13"/>
      <c r="AJI48" s="13"/>
      <c r="AJJ48" s="13"/>
      <c r="AJK48" s="13"/>
      <c r="AJL48" s="13"/>
      <c r="AJM48" s="13"/>
      <c r="AJN48" s="13"/>
      <c r="AJO48" s="13"/>
      <c r="AJP48" s="13"/>
      <c r="AJQ48" s="13"/>
      <c r="AJR48" s="13"/>
      <c r="AJS48" s="13"/>
      <c r="AJT48" s="13"/>
      <c r="AJU48" s="13"/>
      <c r="AJV48" s="13"/>
      <c r="AJW48" s="13"/>
      <c r="AJX48" s="13"/>
      <c r="AJY48" s="13"/>
      <c r="AJZ48" s="13"/>
      <c r="AKA48" s="13"/>
      <c r="AKB48" s="13"/>
      <c r="AKC48" s="13"/>
      <c r="AKD48" s="13"/>
      <c r="AKE48" s="13"/>
      <c r="AKF48" s="13"/>
      <c r="AKG48" s="13"/>
      <c r="AKH48" s="13"/>
      <c r="AKI48" s="13"/>
      <c r="AKJ48" s="13"/>
      <c r="AKK48" s="13"/>
      <c r="AKL48" s="13"/>
      <c r="AKM48" s="13"/>
      <c r="AKN48" s="13"/>
      <c r="AKO48" s="13"/>
      <c r="AKP48" s="13"/>
      <c r="AKQ48" s="13"/>
      <c r="AKR48" s="13"/>
      <c r="AKS48" s="13"/>
      <c r="AKT48" s="13"/>
      <c r="AKU48" s="13"/>
      <c r="AKV48" s="13"/>
      <c r="AKW48" s="13"/>
      <c r="AKX48" s="13"/>
      <c r="AKY48" s="13"/>
      <c r="AKZ48" s="13"/>
      <c r="ALA48" s="13"/>
      <c r="ALB48" s="13"/>
      <c r="ALC48" s="13"/>
      <c r="ALD48" s="13"/>
      <c r="ALE48" s="13"/>
      <c r="ALF48" s="13"/>
      <c r="ALG48" s="13"/>
      <c r="ALH48" s="13"/>
      <c r="ALI48" s="13"/>
      <c r="ALJ48" s="13"/>
      <c r="ALK48" s="13"/>
      <c r="ALL48" s="13"/>
      <c r="ALM48" s="13"/>
      <c r="ALN48" s="13"/>
      <c r="ALO48" s="13"/>
    </row>
    <row r="49" spans="1:1003" x14ac:dyDescent="0.35">
      <c r="A49" s="28"/>
      <c r="B49" s="18"/>
      <c r="C49" s="18"/>
      <c r="D49" s="18"/>
      <c r="E49" s="20"/>
      <c r="F49" s="18"/>
      <c r="G49" s="18"/>
      <c r="H49" s="18"/>
      <c r="I49" s="18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  <c r="QI49" s="13"/>
      <c r="QJ49" s="13"/>
      <c r="QK49" s="13"/>
      <c r="QL49" s="13"/>
      <c r="QM49" s="13"/>
      <c r="QN49" s="13"/>
      <c r="QO49" s="13"/>
      <c r="QP49" s="13"/>
      <c r="QQ49" s="13"/>
      <c r="QR49" s="13"/>
      <c r="QS49" s="13"/>
      <c r="QT49" s="13"/>
      <c r="QU49" s="13"/>
      <c r="QV49" s="13"/>
      <c r="QW49" s="13"/>
      <c r="QX49" s="13"/>
      <c r="QY49" s="13"/>
      <c r="QZ49" s="13"/>
      <c r="RA49" s="13"/>
      <c r="RB49" s="13"/>
      <c r="RC49" s="13"/>
      <c r="RD49" s="13"/>
      <c r="RE49" s="13"/>
      <c r="RF49" s="13"/>
      <c r="RG49" s="13"/>
      <c r="RH49" s="13"/>
      <c r="RI49" s="13"/>
      <c r="RJ49" s="13"/>
      <c r="RK49" s="13"/>
      <c r="RL49" s="13"/>
      <c r="RM49" s="13"/>
      <c r="RN49" s="13"/>
      <c r="RO49" s="13"/>
      <c r="RP49" s="13"/>
      <c r="RQ49" s="13"/>
      <c r="RR49" s="13"/>
      <c r="RS49" s="13"/>
      <c r="RT49" s="13"/>
      <c r="RU49" s="13"/>
      <c r="RV49" s="13"/>
      <c r="RW49" s="13"/>
      <c r="RX49" s="13"/>
      <c r="RY49" s="13"/>
      <c r="RZ49" s="13"/>
      <c r="SA49" s="13"/>
      <c r="SB49" s="13"/>
      <c r="SC49" s="13"/>
      <c r="SD49" s="13"/>
      <c r="SE49" s="13"/>
      <c r="SF49" s="13"/>
      <c r="SG49" s="13"/>
      <c r="SH49" s="13"/>
      <c r="SI49" s="13"/>
      <c r="SJ49" s="13"/>
      <c r="SK49" s="13"/>
      <c r="SL49" s="13"/>
      <c r="SM49" s="13"/>
      <c r="SN49" s="13"/>
      <c r="SO49" s="13"/>
      <c r="SP49" s="13"/>
      <c r="SQ49" s="13"/>
      <c r="SR49" s="13"/>
      <c r="SS49" s="13"/>
      <c r="ST49" s="13"/>
      <c r="SU49" s="13"/>
      <c r="SV49" s="13"/>
      <c r="SW49" s="13"/>
      <c r="SX49" s="13"/>
      <c r="SY49" s="13"/>
      <c r="SZ49" s="13"/>
      <c r="TA49" s="13"/>
      <c r="TB49" s="13"/>
      <c r="TC49" s="13"/>
      <c r="TD49" s="13"/>
      <c r="TE49" s="13"/>
      <c r="TF49" s="13"/>
      <c r="TG49" s="13"/>
      <c r="TH49" s="13"/>
      <c r="TI49" s="13"/>
      <c r="TJ49" s="13"/>
      <c r="TK49" s="13"/>
      <c r="TL49" s="13"/>
      <c r="TM49" s="13"/>
      <c r="TN49" s="13"/>
      <c r="TO49" s="13"/>
      <c r="TP49" s="13"/>
      <c r="TQ49" s="13"/>
      <c r="TR49" s="13"/>
      <c r="TS49" s="13"/>
      <c r="TT49" s="13"/>
      <c r="TU49" s="13"/>
      <c r="TV49" s="13"/>
      <c r="TW49" s="13"/>
      <c r="TX49" s="13"/>
      <c r="TY49" s="13"/>
      <c r="TZ49" s="13"/>
      <c r="UA49" s="13"/>
      <c r="UB49" s="13"/>
      <c r="UC49" s="13"/>
      <c r="UD49" s="13"/>
      <c r="UE49" s="13"/>
      <c r="UF49" s="13"/>
      <c r="UG49" s="13"/>
      <c r="UH49" s="13"/>
      <c r="UI49" s="13"/>
      <c r="UJ49" s="13"/>
      <c r="UK49" s="13"/>
      <c r="UL49" s="13"/>
      <c r="UM49" s="13"/>
      <c r="UN49" s="13"/>
      <c r="UO49" s="13"/>
      <c r="UP49" s="13"/>
      <c r="UQ49" s="13"/>
      <c r="UR49" s="13"/>
      <c r="US49" s="13"/>
      <c r="UT49" s="13"/>
      <c r="UU49" s="13"/>
      <c r="UV49" s="13"/>
      <c r="UW49" s="13"/>
      <c r="UX49" s="13"/>
      <c r="UY49" s="13"/>
      <c r="UZ49" s="13"/>
      <c r="VA49" s="13"/>
      <c r="VB49" s="13"/>
      <c r="VC49" s="13"/>
      <c r="VD49" s="13"/>
      <c r="VE49" s="13"/>
      <c r="VF49" s="13"/>
      <c r="VG49" s="13"/>
      <c r="VH49" s="13"/>
      <c r="VI49" s="13"/>
      <c r="VJ49" s="13"/>
      <c r="VK49" s="13"/>
      <c r="VL49" s="13"/>
      <c r="VM49" s="13"/>
      <c r="VN49" s="13"/>
      <c r="VO49" s="13"/>
      <c r="VP49" s="13"/>
      <c r="VQ49" s="13"/>
      <c r="VR49" s="13"/>
      <c r="VS49" s="13"/>
      <c r="VT49" s="13"/>
      <c r="VU49" s="13"/>
      <c r="VV49" s="13"/>
      <c r="VW49" s="13"/>
      <c r="VX49" s="13"/>
      <c r="VY49" s="13"/>
      <c r="VZ49" s="13"/>
      <c r="WA49" s="13"/>
      <c r="WB49" s="13"/>
      <c r="WC49" s="13"/>
      <c r="WD49" s="13"/>
      <c r="WE49" s="13"/>
      <c r="WF49" s="13"/>
      <c r="WG49" s="13"/>
      <c r="WH49" s="13"/>
      <c r="WI49" s="13"/>
      <c r="WJ49" s="13"/>
      <c r="WK49" s="13"/>
      <c r="WL49" s="13"/>
      <c r="WM49" s="13"/>
      <c r="WN49" s="13"/>
      <c r="WO49" s="13"/>
      <c r="WP49" s="13"/>
      <c r="WQ49" s="13"/>
      <c r="WR49" s="13"/>
      <c r="WS49" s="13"/>
      <c r="WT49" s="13"/>
      <c r="WU49" s="13"/>
      <c r="WV49" s="13"/>
      <c r="WW49" s="13"/>
      <c r="WX49" s="13"/>
      <c r="WY49" s="13"/>
      <c r="WZ49" s="13"/>
      <c r="XA49" s="13"/>
      <c r="XB49" s="13"/>
      <c r="XC49" s="13"/>
      <c r="XD49" s="13"/>
      <c r="XE49" s="13"/>
      <c r="XF49" s="13"/>
      <c r="XG49" s="13"/>
      <c r="XH49" s="13"/>
      <c r="XI49" s="13"/>
      <c r="XJ49" s="13"/>
      <c r="XK49" s="13"/>
      <c r="XL49" s="13"/>
      <c r="XM49" s="13"/>
      <c r="XN49" s="13"/>
      <c r="XO49" s="13"/>
      <c r="XP49" s="13"/>
      <c r="XQ49" s="13"/>
      <c r="XR49" s="13"/>
      <c r="XS49" s="13"/>
      <c r="XT49" s="13"/>
      <c r="XU49" s="13"/>
      <c r="XV49" s="13"/>
      <c r="XW49" s="13"/>
      <c r="XX49" s="13"/>
      <c r="XY49" s="13"/>
      <c r="XZ49" s="13"/>
      <c r="YA49" s="13"/>
      <c r="YB49" s="13"/>
      <c r="YC49" s="13"/>
      <c r="YD49" s="13"/>
      <c r="YE49" s="13"/>
      <c r="YF49" s="13"/>
      <c r="YG49" s="13"/>
      <c r="YH49" s="13"/>
      <c r="YI49" s="13"/>
      <c r="YJ49" s="13"/>
      <c r="YK49" s="13"/>
      <c r="YL49" s="13"/>
      <c r="YM49" s="13"/>
      <c r="YN49" s="13"/>
      <c r="YO49" s="13"/>
      <c r="YP49" s="13"/>
      <c r="YQ49" s="13"/>
      <c r="YR49" s="13"/>
      <c r="YS49" s="13"/>
      <c r="YT49" s="13"/>
      <c r="YU49" s="13"/>
      <c r="YV49" s="13"/>
      <c r="YW49" s="13"/>
      <c r="YX49" s="13"/>
      <c r="YY49" s="13"/>
      <c r="YZ49" s="13"/>
      <c r="ZA49" s="13"/>
      <c r="ZB49" s="13"/>
      <c r="ZC49" s="13"/>
      <c r="ZD49" s="13"/>
      <c r="ZE49" s="13"/>
      <c r="ZF49" s="13"/>
      <c r="ZG49" s="13"/>
      <c r="ZH49" s="13"/>
      <c r="ZI49" s="13"/>
      <c r="ZJ49" s="13"/>
      <c r="ZK49" s="13"/>
      <c r="ZL49" s="13"/>
      <c r="ZM49" s="13"/>
      <c r="ZN49" s="13"/>
      <c r="ZO49" s="13"/>
      <c r="ZP49" s="13"/>
      <c r="ZQ49" s="13"/>
      <c r="ZR49" s="13"/>
      <c r="ZS49" s="13"/>
      <c r="ZT49" s="13"/>
      <c r="ZU49" s="13"/>
      <c r="ZV49" s="13"/>
      <c r="ZW49" s="13"/>
      <c r="ZX49" s="13"/>
      <c r="ZY49" s="13"/>
      <c r="ZZ49" s="13"/>
      <c r="AAA49" s="13"/>
      <c r="AAB49" s="13"/>
      <c r="AAC49" s="13"/>
      <c r="AAD49" s="13"/>
      <c r="AAE49" s="13"/>
      <c r="AAF49" s="13"/>
      <c r="AAG49" s="13"/>
      <c r="AAH49" s="13"/>
      <c r="AAI49" s="13"/>
      <c r="AAJ49" s="13"/>
      <c r="AAK49" s="13"/>
      <c r="AAL49" s="13"/>
      <c r="AAM49" s="13"/>
      <c r="AAN49" s="13"/>
      <c r="AAO49" s="13"/>
      <c r="AAP49" s="13"/>
      <c r="AAQ49" s="13"/>
      <c r="AAR49" s="13"/>
      <c r="AAS49" s="13"/>
      <c r="AAT49" s="13"/>
      <c r="AAU49" s="13"/>
      <c r="AAV49" s="13"/>
      <c r="AAW49" s="13"/>
      <c r="AAX49" s="13"/>
      <c r="AAY49" s="13"/>
      <c r="AAZ49" s="13"/>
      <c r="ABA49" s="13"/>
      <c r="ABB49" s="13"/>
      <c r="ABC49" s="13"/>
      <c r="ABD49" s="13"/>
      <c r="ABE49" s="13"/>
      <c r="ABF49" s="13"/>
      <c r="ABG49" s="13"/>
      <c r="ABH49" s="13"/>
      <c r="ABI49" s="13"/>
      <c r="ABJ49" s="13"/>
      <c r="ABK49" s="13"/>
      <c r="ABL49" s="13"/>
      <c r="ABM49" s="13"/>
      <c r="ABN49" s="13"/>
      <c r="ABO49" s="13"/>
      <c r="ABP49" s="13"/>
      <c r="ABQ49" s="13"/>
      <c r="ABR49" s="13"/>
      <c r="ABS49" s="13"/>
      <c r="ABT49" s="13"/>
      <c r="ABU49" s="13"/>
      <c r="ABV49" s="13"/>
      <c r="ABW49" s="13"/>
      <c r="ABX49" s="13"/>
      <c r="ABY49" s="13"/>
      <c r="ABZ49" s="13"/>
      <c r="ACA49" s="13"/>
      <c r="ACB49" s="13"/>
      <c r="ACC49" s="13"/>
      <c r="ACD49" s="13"/>
      <c r="ACE49" s="13"/>
      <c r="ACF49" s="13"/>
      <c r="ACG49" s="13"/>
      <c r="ACH49" s="13"/>
      <c r="ACI49" s="13"/>
      <c r="ACJ49" s="13"/>
      <c r="ACK49" s="13"/>
      <c r="ACL49" s="13"/>
      <c r="ACM49" s="13"/>
      <c r="ACN49" s="13"/>
      <c r="ACO49" s="13"/>
      <c r="ACP49" s="13"/>
      <c r="ACQ49" s="13"/>
      <c r="ACR49" s="13"/>
      <c r="ACS49" s="13"/>
      <c r="ACT49" s="13"/>
      <c r="ACU49" s="13"/>
      <c r="ACV49" s="13"/>
      <c r="ACW49" s="13"/>
      <c r="ACX49" s="13"/>
      <c r="ACY49" s="13"/>
      <c r="ACZ49" s="13"/>
      <c r="ADA49" s="13"/>
      <c r="ADB49" s="13"/>
      <c r="ADC49" s="13"/>
      <c r="ADD49" s="13"/>
      <c r="ADE49" s="13"/>
      <c r="ADF49" s="13"/>
      <c r="ADG49" s="13"/>
      <c r="ADH49" s="13"/>
      <c r="ADI49" s="13"/>
      <c r="ADJ49" s="13"/>
      <c r="ADK49" s="13"/>
      <c r="ADL49" s="13"/>
      <c r="ADM49" s="13"/>
      <c r="ADN49" s="13"/>
      <c r="ADO49" s="13"/>
      <c r="ADP49" s="13"/>
      <c r="ADQ49" s="13"/>
      <c r="ADR49" s="13"/>
      <c r="ADS49" s="13"/>
      <c r="ADT49" s="13"/>
      <c r="ADU49" s="13"/>
      <c r="ADV49" s="13"/>
      <c r="ADW49" s="13"/>
      <c r="ADX49" s="13"/>
      <c r="ADY49" s="13"/>
      <c r="ADZ49" s="13"/>
      <c r="AEA49" s="13"/>
      <c r="AEB49" s="13"/>
      <c r="AEC49" s="13"/>
      <c r="AED49" s="13"/>
      <c r="AEE49" s="13"/>
      <c r="AEF49" s="13"/>
      <c r="AEG49" s="13"/>
      <c r="AEH49" s="13"/>
      <c r="AEI49" s="13"/>
      <c r="AEJ49" s="13"/>
      <c r="AEK49" s="13"/>
      <c r="AEL49" s="13"/>
      <c r="AEM49" s="13"/>
      <c r="AEN49" s="13"/>
      <c r="AEO49" s="13"/>
      <c r="AEP49" s="13"/>
      <c r="AEQ49" s="13"/>
      <c r="AER49" s="13"/>
      <c r="AES49" s="13"/>
      <c r="AET49" s="13"/>
      <c r="AEU49" s="13"/>
      <c r="AEV49" s="13"/>
      <c r="AEW49" s="13"/>
      <c r="AEX49" s="13"/>
      <c r="AEY49" s="13"/>
      <c r="AEZ49" s="13"/>
      <c r="AFA49" s="13"/>
      <c r="AFB49" s="13"/>
      <c r="AFC49" s="13"/>
      <c r="AFD49" s="13"/>
      <c r="AFE49" s="13"/>
      <c r="AFF49" s="13"/>
      <c r="AFG49" s="13"/>
      <c r="AFH49" s="13"/>
      <c r="AFI49" s="13"/>
      <c r="AFJ49" s="13"/>
      <c r="AFK49" s="13"/>
      <c r="AFL49" s="13"/>
      <c r="AFM49" s="13"/>
      <c r="AFN49" s="13"/>
      <c r="AFO49" s="13"/>
      <c r="AFP49" s="13"/>
      <c r="AFQ49" s="13"/>
      <c r="AFR49" s="13"/>
      <c r="AFS49" s="13"/>
      <c r="AFT49" s="13"/>
      <c r="AFU49" s="13"/>
      <c r="AFV49" s="13"/>
      <c r="AFW49" s="13"/>
      <c r="AFX49" s="13"/>
      <c r="AFY49" s="13"/>
      <c r="AFZ49" s="13"/>
      <c r="AGA49" s="13"/>
      <c r="AGB49" s="13"/>
      <c r="AGC49" s="13"/>
      <c r="AGD49" s="13"/>
      <c r="AGE49" s="13"/>
      <c r="AGF49" s="13"/>
      <c r="AGG49" s="13"/>
      <c r="AGH49" s="13"/>
      <c r="AGI49" s="13"/>
      <c r="AGJ49" s="13"/>
      <c r="AGK49" s="13"/>
      <c r="AGL49" s="13"/>
      <c r="AGM49" s="13"/>
      <c r="AGN49" s="13"/>
      <c r="AGO49" s="13"/>
      <c r="AGP49" s="13"/>
      <c r="AGQ49" s="13"/>
      <c r="AGR49" s="13"/>
      <c r="AGS49" s="13"/>
      <c r="AGT49" s="13"/>
      <c r="AGU49" s="13"/>
      <c r="AGV49" s="13"/>
      <c r="AGW49" s="13"/>
      <c r="AGX49" s="13"/>
      <c r="AGY49" s="13"/>
      <c r="AGZ49" s="13"/>
      <c r="AHA49" s="13"/>
      <c r="AHB49" s="13"/>
      <c r="AHC49" s="13"/>
      <c r="AHD49" s="13"/>
      <c r="AHE49" s="13"/>
      <c r="AHF49" s="13"/>
      <c r="AHG49" s="13"/>
      <c r="AHH49" s="13"/>
      <c r="AHI49" s="13"/>
      <c r="AHJ49" s="13"/>
      <c r="AHK49" s="13"/>
      <c r="AHL49" s="13"/>
      <c r="AHM49" s="13"/>
      <c r="AHN49" s="13"/>
      <c r="AHO49" s="13"/>
      <c r="AHP49" s="13"/>
      <c r="AHQ49" s="13"/>
      <c r="AHR49" s="13"/>
      <c r="AHS49" s="13"/>
      <c r="AHT49" s="13"/>
      <c r="AHU49" s="13"/>
      <c r="AHV49" s="13"/>
      <c r="AHW49" s="13"/>
      <c r="AHX49" s="13"/>
      <c r="AHY49" s="13"/>
      <c r="AHZ49" s="13"/>
      <c r="AIA49" s="13"/>
      <c r="AIB49" s="13"/>
      <c r="AIC49" s="13"/>
      <c r="AID49" s="13"/>
      <c r="AIE49" s="13"/>
      <c r="AIF49" s="13"/>
      <c r="AIG49" s="13"/>
      <c r="AIH49" s="13"/>
      <c r="AII49" s="13"/>
      <c r="AIJ49" s="13"/>
      <c r="AIK49" s="13"/>
      <c r="AIL49" s="13"/>
      <c r="AIM49" s="13"/>
      <c r="AIN49" s="13"/>
      <c r="AIO49" s="13"/>
      <c r="AIP49" s="13"/>
      <c r="AIQ49" s="13"/>
      <c r="AIR49" s="13"/>
      <c r="AIS49" s="13"/>
      <c r="AIT49" s="13"/>
      <c r="AIU49" s="13"/>
      <c r="AIV49" s="13"/>
      <c r="AIW49" s="13"/>
      <c r="AIX49" s="13"/>
      <c r="AIY49" s="13"/>
      <c r="AIZ49" s="13"/>
      <c r="AJA49" s="13"/>
      <c r="AJB49" s="13"/>
      <c r="AJC49" s="13"/>
      <c r="AJD49" s="13"/>
      <c r="AJE49" s="13"/>
      <c r="AJF49" s="13"/>
      <c r="AJG49" s="13"/>
      <c r="AJH49" s="13"/>
      <c r="AJI49" s="13"/>
      <c r="AJJ49" s="13"/>
      <c r="AJK49" s="13"/>
      <c r="AJL49" s="13"/>
      <c r="AJM49" s="13"/>
      <c r="AJN49" s="13"/>
      <c r="AJO49" s="13"/>
      <c r="AJP49" s="13"/>
      <c r="AJQ49" s="13"/>
      <c r="AJR49" s="13"/>
      <c r="AJS49" s="13"/>
      <c r="AJT49" s="13"/>
      <c r="AJU49" s="13"/>
      <c r="AJV49" s="13"/>
      <c r="AJW49" s="13"/>
      <c r="AJX49" s="13"/>
      <c r="AJY49" s="13"/>
      <c r="AJZ49" s="13"/>
      <c r="AKA49" s="13"/>
      <c r="AKB49" s="13"/>
      <c r="AKC49" s="13"/>
      <c r="AKD49" s="13"/>
      <c r="AKE49" s="13"/>
      <c r="AKF49" s="13"/>
      <c r="AKG49" s="13"/>
      <c r="AKH49" s="13"/>
      <c r="AKI49" s="13"/>
      <c r="AKJ49" s="13"/>
      <c r="AKK49" s="13"/>
      <c r="AKL49" s="13"/>
      <c r="AKM49" s="13"/>
      <c r="AKN49" s="13"/>
      <c r="AKO49" s="13"/>
      <c r="AKP49" s="13"/>
      <c r="AKQ49" s="13"/>
      <c r="AKR49" s="13"/>
      <c r="AKS49" s="13"/>
      <c r="AKT49" s="13"/>
      <c r="AKU49" s="13"/>
      <c r="AKV49" s="13"/>
      <c r="AKW49" s="13"/>
      <c r="AKX49" s="13"/>
      <c r="AKY49" s="13"/>
      <c r="AKZ49" s="13"/>
      <c r="ALA49" s="13"/>
      <c r="ALB49" s="13"/>
      <c r="ALC49" s="13"/>
      <c r="ALD49" s="13"/>
      <c r="ALE49" s="13"/>
      <c r="ALF49" s="13"/>
      <c r="ALG49" s="13"/>
      <c r="ALH49" s="13"/>
      <c r="ALI49" s="13"/>
      <c r="ALJ49" s="13"/>
      <c r="ALK49" s="13"/>
      <c r="ALL49" s="13"/>
      <c r="ALM49" s="13"/>
      <c r="ALN49" s="13"/>
      <c r="ALO49" s="13"/>
    </row>
    <row r="50" spans="1:1003" x14ac:dyDescent="0.35">
      <c r="A50" s="28" t="s">
        <v>169</v>
      </c>
      <c r="B50" s="18"/>
      <c r="C50" s="18"/>
      <c r="D50" s="18"/>
      <c r="E50" s="20"/>
      <c r="F50" s="18"/>
      <c r="G50" s="18"/>
      <c r="H50" s="18"/>
      <c r="I50" s="18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  <c r="QI50" s="13"/>
      <c r="QJ50" s="13"/>
      <c r="QK50" s="13"/>
      <c r="QL50" s="13"/>
      <c r="QM50" s="13"/>
      <c r="QN50" s="13"/>
      <c r="QO50" s="13"/>
      <c r="QP50" s="13"/>
      <c r="QQ50" s="13"/>
      <c r="QR50" s="13"/>
      <c r="QS50" s="13"/>
      <c r="QT50" s="13"/>
      <c r="QU50" s="13"/>
      <c r="QV50" s="13"/>
      <c r="QW50" s="13"/>
      <c r="QX50" s="13"/>
      <c r="QY50" s="13"/>
      <c r="QZ50" s="13"/>
      <c r="RA50" s="13"/>
      <c r="RB50" s="13"/>
      <c r="RC50" s="13"/>
      <c r="RD50" s="13"/>
      <c r="RE50" s="13"/>
      <c r="RF50" s="13"/>
      <c r="RG50" s="13"/>
      <c r="RH50" s="13"/>
      <c r="RI50" s="13"/>
      <c r="RJ50" s="13"/>
      <c r="RK50" s="13"/>
      <c r="RL50" s="13"/>
      <c r="RM50" s="13"/>
      <c r="RN50" s="13"/>
      <c r="RO50" s="13"/>
      <c r="RP50" s="13"/>
      <c r="RQ50" s="13"/>
      <c r="RR50" s="13"/>
      <c r="RS50" s="13"/>
      <c r="RT50" s="13"/>
      <c r="RU50" s="13"/>
      <c r="RV50" s="13"/>
      <c r="RW50" s="13"/>
      <c r="RX50" s="13"/>
      <c r="RY50" s="13"/>
      <c r="RZ50" s="13"/>
      <c r="SA50" s="13"/>
      <c r="SB50" s="13"/>
      <c r="SC50" s="13"/>
      <c r="SD50" s="13"/>
      <c r="SE50" s="13"/>
      <c r="SF50" s="13"/>
      <c r="SG50" s="13"/>
      <c r="SH50" s="13"/>
      <c r="SI50" s="13"/>
      <c r="SJ50" s="13"/>
      <c r="SK50" s="13"/>
      <c r="SL50" s="13"/>
      <c r="SM50" s="13"/>
      <c r="SN50" s="13"/>
      <c r="SO50" s="13"/>
      <c r="SP50" s="13"/>
      <c r="SQ50" s="13"/>
      <c r="SR50" s="13"/>
      <c r="SS50" s="13"/>
      <c r="ST50" s="13"/>
      <c r="SU50" s="13"/>
      <c r="SV50" s="13"/>
      <c r="SW50" s="13"/>
      <c r="SX50" s="13"/>
      <c r="SY50" s="13"/>
      <c r="SZ50" s="13"/>
      <c r="TA50" s="13"/>
      <c r="TB50" s="13"/>
      <c r="TC50" s="13"/>
      <c r="TD50" s="13"/>
      <c r="TE50" s="13"/>
      <c r="TF50" s="13"/>
      <c r="TG50" s="13"/>
      <c r="TH50" s="13"/>
      <c r="TI50" s="13"/>
      <c r="TJ50" s="13"/>
      <c r="TK50" s="13"/>
      <c r="TL50" s="13"/>
      <c r="TM50" s="13"/>
      <c r="TN50" s="13"/>
      <c r="TO50" s="13"/>
      <c r="TP50" s="13"/>
      <c r="TQ50" s="13"/>
      <c r="TR50" s="13"/>
      <c r="TS50" s="13"/>
      <c r="TT50" s="13"/>
      <c r="TU50" s="13"/>
      <c r="TV50" s="13"/>
      <c r="TW50" s="13"/>
      <c r="TX50" s="13"/>
      <c r="TY50" s="13"/>
      <c r="TZ50" s="13"/>
      <c r="UA50" s="13"/>
      <c r="UB50" s="13"/>
      <c r="UC50" s="13"/>
      <c r="UD50" s="13"/>
      <c r="UE50" s="13"/>
      <c r="UF50" s="13"/>
      <c r="UG50" s="13"/>
      <c r="UH50" s="13"/>
      <c r="UI50" s="13"/>
      <c r="UJ50" s="13"/>
      <c r="UK50" s="13"/>
      <c r="UL50" s="13"/>
      <c r="UM50" s="13"/>
      <c r="UN50" s="13"/>
      <c r="UO50" s="13"/>
      <c r="UP50" s="13"/>
      <c r="UQ50" s="13"/>
      <c r="UR50" s="13"/>
      <c r="US50" s="13"/>
      <c r="UT50" s="13"/>
      <c r="UU50" s="13"/>
      <c r="UV50" s="13"/>
      <c r="UW50" s="13"/>
      <c r="UX50" s="13"/>
      <c r="UY50" s="13"/>
      <c r="UZ50" s="13"/>
      <c r="VA50" s="13"/>
      <c r="VB50" s="13"/>
      <c r="VC50" s="13"/>
      <c r="VD50" s="13"/>
      <c r="VE50" s="13"/>
      <c r="VF50" s="13"/>
      <c r="VG50" s="13"/>
      <c r="VH50" s="13"/>
      <c r="VI50" s="13"/>
      <c r="VJ50" s="13"/>
      <c r="VK50" s="13"/>
      <c r="VL50" s="13"/>
      <c r="VM50" s="13"/>
      <c r="VN50" s="13"/>
      <c r="VO50" s="13"/>
      <c r="VP50" s="13"/>
      <c r="VQ50" s="13"/>
      <c r="VR50" s="13"/>
      <c r="VS50" s="13"/>
      <c r="VT50" s="13"/>
      <c r="VU50" s="13"/>
      <c r="VV50" s="13"/>
      <c r="VW50" s="13"/>
      <c r="VX50" s="13"/>
      <c r="VY50" s="13"/>
      <c r="VZ50" s="13"/>
      <c r="WA50" s="13"/>
      <c r="WB50" s="13"/>
      <c r="WC50" s="13"/>
      <c r="WD50" s="13"/>
      <c r="WE50" s="13"/>
      <c r="WF50" s="13"/>
      <c r="WG50" s="13"/>
      <c r="WH50" s="13"/>
      <c r="WI50" s="13"/>
      <c r="WJ50" s="13"/>
      <c r="WK50" s="13"/>
      <c r="WL50" s="13"/>
      <c r="WM50" s="13"/>
      <c r="WN50" s="13"/>
      <c r="WO50" s="13"/>
      <c r="WP50" s="13"/>
      <c r="WQ50" s="13"/>
      <c r="WR50" s="13"/>
      <c r="WS50" s="13"/>
      <c r="WT50" s="13"/>
      <c r="WU50" s="13"/>
      <c r="WV50" s="13"/>
      <c r="WW50" s="13"/>
      <c r="WX50" s="13"/>
      <c r="WY50" s="13"/>
      <c r="WZ50" s="13"/>
      <c r="XA50" s="13"/>
      <c r="XB50" s="13"/>
      <c r="XC50" s="13"/>
      <c r="XD50" s="13"/>
      <c r="XE50" s="13"/>
      <c r="XF50" s="13"/>
      <c r="XG50" s="13"/>
      <c r="XH50" s="13"/>
      <c r="XI50" s="13"/>
      <c r="XJ50" s="13"/>
      <c r="XK50" s="13"/>
      <c r="XL50" s="13"/>
      <c r="XM50" s="13"/>
      <c r="XN50" s="13"/>
      <c r="XO50" s="13"/>
      <c r="XP50" s="13"/>
      <c r="XQ50" s="13"/>
      <c r="XR50" s="13"/>
      <c r="XS50" s="13"/>
      <c r="XT50" s="13"/>
      <c r="XU50" s="13"/>
      <c r="XV50" s="13"/>
      <c r="XW50" s="13"/>
      <c r="XX50" s="13"/>
      <c r="XY50" s="13"/>
      <c r="XZ50" s="13"/>
      <c r="YA50" s="13"/>
      <c r="YB50" s="13"/>
      <c r="YC50" s="13"/>
      <c r="YD50" s="13"/>
      <c r="YE50" s="13"/>
      <c r="YF50" s="13"/>
      <c r="YG50" s="13"/>
      <c r="YH50" s="13"/>
      <c r="YI50" s="13"/>
      <c r="YJ50" s="13"/>
      <c r="YK50" s="13"/>
      <c r="YL50" s="13"/>
      <c r="YM50" s="13"/>
      <c r="YN50" s="13"/>
      <c r="YO50" s="13"/>
      <c r="YP50" s="13"/>
      <c r="YQ50" s="13"/>
      <c r="YR50" s="13"/>
      <c r="YS50" s="13"/>
      <c r="YT50" s="13"/>
      <c r="YU50" s="13"/>
      <c r="YV50" s="13"/>
      <c r="YW50" s="13"/>
      <c r="YX50" s="13"/>
      <c r="YY50" s="13"/>
      <c r="YZ50" s="13"/>
      <c r="ZA50" s="13"/>
      <c r="ZB50" s="13"/>
      <c r="ZC50" s="13"/>
      <c r="ZD50" s="13"/>
      <c r="ZE50" s="13"/>
      <c r="ZF50" s="13"/>
      <c r="ZG50" s="13"/>
      <c r="ZH50" s="13"/>
      <c r="ZI50" s="13"/>
      <c r="ZJ50" s="13"/>
      <c r="ZK50" s="13"/>
      <c r="ZL50" s="13"/>
      <c r="ZM50" s="13"/>
      <c r="ZN50" s="13"/>
      <c r="ZO50" s="13"/>
      <c r="ZP50" s="13"/>
      <c r="ZQ50" s="13"/>
      <c r="ZR50" s="13"/>
      <c r="ZS50" s="13"/>
      <c r="ZT50" s="13"/>
      <c r="ZU50" s="13"/>
      <c r="ZV50" s="13"/>
      <c r="ZW50" s="13"/>
      <c r="ZX50" s="13"/>
      <c r="ZY50" s="13"/>
      <c r="ZZ50" s="13"/>
      <c r="AAA50" s="13"/>
      <c r="AAB50" s="13"/>
      <c r="AAC50" s="13"/>
      <c r="AAD50" s="13"/>
      <c r="AAE50" s="13"/>
      <c r="AAF50" s="13"/>
      <c r="AAG50" s="13"/>
      <c r="AAH50" s="13"/>
      <c r="AAI50" s="13"/>
      <c r="AAJ50" s="13"/>
      <c r="AAK50" s="13"/>
      <c r="AAL50" s="13"/>
      <c r="AAM50" s="13"/>
      <c r="AAN50" s="13"/>
      <c r="AAO50" s="13"/>
      <c r="AAP50" s="13"/>
      <c r="AAQ50" s="13"/>
      <c r="AAR50" s="13"/>
      <c r="AAS50" s="13"/>
      <c r="AAT50" s="13"/>
      <c r="AAU50" s="13"/>
      <c r="AAV50" s="13"/>
      <c r="AAW50" s="13"/>
      <c r="AAX50" s="13"/>
      <c r="AAY50" s="13"/>
      <c r="AAZ50" s="13"/>
      <c r="ABA50" s="13"/>
      <c r="ABB50" s="13"/>
      <c r="ABC50" s="13"/>
      <c r="ABD50" s="13"/>
      <c r="ABE50" s="13"/>
      <c r="ABF50" s="13"/>
      <c r="ABG50" s="13"/>
      <c r="ABH50" s="13"/>
      <c r="ABI50" s="13"/>
      <c r="ABJ50" s="13"/>
      <c r="ABK50" s="13"/>
      <c r="ABL50" s="13"/>
      <c r="ABM50" s="13"/>
      <c r="ABN50" s="13"/>
      <c r="ABO50" s="13"/>
      <c r="ABP50" s="13"/>
      <c r="ABQ50" s="13"/>
      <c r="ABR50" s="13"/>
      <c r="ABS50" s="13"/>
      <c r="ABT50" s="13"/>
      <c r="ABU50" s="13"/>
      <c r="ABV50" s="13"/>
      <c r="ABW50" s="13"/>
      <c r="ABX50" s="13"/>
      <c r="ABY50" s="13"/>
      <c r="ABZ50" s="13"/>
      <c r="ACA50" s="13"/>
      <c r="ACB50" s="13"/>
      <c r="ACC50" s="13"/>
      <c r="ACD50" s="13"/>
      <c r="ACE50" s="13"/>
      <c r="ACF50" s="13"/>
      <c r="ACG50" s="13"/>
      <c r="ACH50" s="13"/>
      <c r="ACI50" s="13"/>
      <c r="ACJ50" s="13"/>
      <c r="ACK50" s="13"/>
      <c r="ACL50" s="13"/>
      <c r="ACM50" s="13"/>
      <c r="ACN50" s="13"/>
      <c r="ACO50" s="13"/>
      <c r="ACP50" s="13"/>
      <c r="ACQ50" s="13"/>
      <c r="ACR50" s="13"/>
      <c r="ACS50" s="13"/>
      <c r="ACT50" s="13"/>
      <c r="ACU50" s="13"/>
      <c r="ACV50" s="13"/>
      <c r="ACW50" s="13"/>
      <c r="ACX50" s="13"/>
      <c r="ACY50" s="13"/>
      <c r="ACZ50" s="13"/>
      <c r="ADA50" s="13"/>
      <c r="ADB50" s="13"/>
      <c r="ADC50" s="13"/>
      <c r="ADD50" s="13"/>
      <c r="ADE50" s="13"/>
      <c r="ADF50" s="13"/>
      <c r="ADG50" s="13"/>
      <c r="ADH50" s="13"/>
      <c r="ADI50" s="13"/>
      <c r="ADJ50" s="13"/>
      <c r="ADK50" s="13"/>
      <c r="ADL50" s="13"/>
      <c r="ADM50" s="13"/>
      <c r="ADN50" s="13"/>
      <c r="ADO50" s="13"/>
      <c r="ADP50" s="13"/>
      <c r="ADQ50" s="13"/>
      <c r="ADR50" s="13"/>
      <c r="ADS50" s="13"/>
      <c r="ADT50" s="13"/>
      <c r="ADU50" s="13"/>
      <c r="ADV50" s="13"/>
      <c r="ADW50" s="13"/>
      <c r="ADX50" s="13"/>
      <c r="ADY50" s="13"/>
      <c r="ADZ50" s="13"/>
      <c r="AEA50" s="13"/>
      <c r="AEB50" s="13"/>
      <c r="AEC50" s="13"/>
      <c r="AED50" s="13"/>
      <c r="AEE50" s="13"/>
      <c r="AEF50" s="13"/>
      <c r="AEG50" s="13"/>
      <c r="AEH50" s="13"/>
      <c r="AEI50" s="13"/>
      <c r="AEJ50" s="13"/>
      <c r="AEK50" s="13"/>
      <c r="AEL50" s="13"/>
      <c r="AEM50" s="13"/>
      <c r="AEN50" s="13"/>
      <c r="AEO50" s="13"/>
      <c r="AEP50" s="13"/>
      <c r="AEQ50" s="13"/>
      <c r="AER50" s="13"/>
      <c r="AES50" s="13"/>
      <c r="AET50" s="13"/>
      <c r="AEU50" s="13"/>
      <c r="AEV50" s="13"/>
      <c r="AEW50" s="13"/>
      <c r="AEX50" s="13"/>
      <c r="AEY50" s="13"/>
      <c r="AEZ50" s="13"/>
      <c r="AFA50" s="13"/>
      <c r="AFB50" s="13"/>
      <c r="AFC50" s="13"/>
      <c r="AFD50" s="13"/>
      <c r="AFE50" s="13"/>
      <c r="AFF50" s="13"/>
      <c r="AFG50" s="13"/>
      <c r="AFH50" s="13"/>
      <c r="AFI50" s="13"/>
      <c r="AFJ50" s="13"/>
      <c r="AFK50" s="13"/>
      <c r="AFL50" s="13"/>
      <c r="AFM50" s="13"/>
      <c r="AFN50" s="13"/>
      <c r="AFO50" s="13"/>
      <c r="AFP50" s="13"/>
      <c r="AFQ50" s="13"/>
      <c r="AFR50" s="13"/>
      <c r="AFS50" s="13"/>
      <c r="AFT50" s="13"/>
      <c r="AFU50" s="13"/>
      <c r="AFV50" s="13"/>
      <c r="AFW50" s="13"/>
      <c r="AFX50" s="13"/>
      <c r="AFY50" s="13"/>
      <c r="AFZ50" s="13"/>
      <c r="AGA50" s="13"/>
      <c r="AGB50" s="13"/>
      <c r="AGC50" s="13"/>
      <c r="AGD50" s="13"/>
      <c r="AGE50" s="13"/>
      <c r="AGF50" s="13"/>
      <c r="AGG50" s="13"/>
      <c r="AGH50" s="13"/>
      <c r="AGI50" s="13"/>
      <c r="AGJ50" s="13"/>
      <c r="AGK50" s="13"/>
      <c r="AGL50" s="13"/>
      <c r="AGM50" s="13"/>
      <c r="AGN50" s="13"/>
      <c r="AGO50" s="13"/>
      <c r="AGP50" s="13"/>
      <c r="AGQ50" s="13"/>
      <c r="AGR50" s="13"/>
      <c r="AGS50" s="13"/>
      <c r="AGT50" s="13"/>
      <c r="AGU50" s="13"/>
      <c r="AGV50" s="13"/>
      <c r="AGW50" s="13"/>
      <c r="AGX50" s="13"/>
      <c r="AGY50" s="13"/>
      <c r="AGZ50" s="13"/>
      <c r="AHA50" s="13"/>
      <c r="AHB50" s="13"/>
      <c r="AHC50" s="13"/>
      <c r="AHD50" s="13"/>
      <c r="AHE50" s="13"/>
      <c r="AHF50" s="13"/>
      <c r="AHG50" s="13"/>
      <c r="AHH50" s="13"/>
      <c r="AHI50" s="13"/>
      <c r="AHJ50" s="13"/>
      <c r="AHK50" s="13"/>
      <c r="AHL50" s="13"/>
      <c r="AHM50" s="13"/>
      <c r="AHN50" s="13"/>
      <c r="AHO50" s="13"/>
      <c r="AHP50" s="13"/>
      <c r="AHQ50" s="13"/>
      <c r="AHR50" s="13"/>
      <c r="AHS50" s="13"/>
      <c r="AHT50" s="13"/>
      <c r="AHU50" s="13"/>
      <c r="AHV50" s="13"/>
      <c r="AHW50" s="13"/>
      <c r="AHX50" s="13"/>
      <c r="AHY50" s="13"/>
      <c r="AHZ50" s="13"/>
      <c r="AIA50" s="13"/>
      <c r="AIB50" s="13"/>
      <c r="AIC50" s="13"/>
      <c r="AID50" s="13"/>
      <c r="AIE50" s="13"/>
      <c r="AIF50" s="13"/>
      <c r="AIG50" s="13"/>
      <c r="AIH50" s="13"/>
      <c r="AII50" s="13"/>
      <c r="AIJ50" s="13"/>
      <c r="AIK50" s="13"/>
      <c r="AIL50" s="13"/>
      <c r="AIM50" s="13"/>
      <c r="AIN50" s="13"/>
      <c r="AIO50" s="13"/>
      <c r="AIP50" s="13"/>
      <c r="AIQ50" s="13"/>
      <c r="AIR50" s="13"/>
      <c r="AIS50" s="13"/>
      <c r="AIT50" s="13"/>
      <c r="AIU50" s="13"/>
      <c r="AIV50" s="13"/>
      <c r="AIW50" s="13"/>
      <c r="AIX50" s="13"/>
      <c r="AIY50" s="13"/>
      <c r="AIZ50" s="13"/>
      <c r="AJA50" s="13"/>
      <c r="AJB50" s="13"/>
      <c r="AJC50" s="13"/>
      <c r="AJD50" s="13"/>
      <c r="AJE50" s="13"/>
      <c r="AJF50" s="13"/>
      <c r="AJG50" s="13"/>
      <c r="AJH50" s="13"/>
      <c r="AJI50" s="13"/>
      <c r="AJJ50" s="13"/>
      <c r="AJK50" s="13"/>
      <c r="AJL50" s="13"/>
      <c r="AJM50" s="13"/>
      <c r="AJN50" s="13"/>
      <c r="AJO50" s="13"/>
      <c r="AJP50" s="13"/>
      <c r="AJQ50" s="13"/>
      <c r="AJR50" s="13"/>
      <c r="AJS50" s="13"/>
      <c r="AJT50" s="13"/>
      <c r="AJU50" s="13"/>
      <c r="AJV50" s="13"/>
      <c r="AJW50" s="13"/>
      <c r="AJX50" s="13"/>
      <c r="AJY50" s="13"/>
      <c r="AJZ50" s="13"/>
      <c r="AKA50" s="13"/>
      <c r="AKB50" s="13"/>
      <c r="AKC50" s="13"/>
      <c r="AKD50" s="13"/>
      <c r="AKE50" s="13"/>
      <c r="AKF50" s="13"/>
      <c r="AKG50" s="13"/>
      <c r="AKH50" s="13"/>
      <c r="AKI50" s="13"/>
      <c r="AKJ50" s="13"/>
      <c r="AKK50" s="13"/>
      <c r="AKL50" s="13"/>
      <c r="AKM50" s="13"/>
      <c r="AKN50" s="13"/>
      <c r="AKO50" s="13"/>
      <c r="AKP50" s="13"/>
      <c r="AKQ50" s="13"/>
      <c r="AKR50" s="13"/>
      <c r="AKS50" s="13"/>
      <c r="AKT50" s="13"/>
      <c r="AKU50" s="13"/>
      <c r="AKV50" s="13"/>
      <c r="AKW50" s="13"/>
      <c r="AKX50" s="13"/>
      <c r="AKY50" s="13"/>
      <c r="AKZ50" s="13"/>
      <c r="ALA50" s="13"/>
      <c r="ALB50" s="13"/>
      <c r="ALC50" s="13"/>
      <c r="ALD50" s="13"/>
      <c r="ALE50" s="13"/>
      <c r="ALF50" s="13"/>
      <c r="ALG50" s="13"/>
      <c r="ALH50" s="13"/>
      <c r="ALI50" s="13"/>
      <c r="ALJ50" s="13"/>
      <c r="ALK50" s="13"/>
      <c r="ALL50" s="13"/>
      <c r="ALM50" s="13"/>
      <c r="ALN50" s="13"/>
      <c r="ALO50" s="13"/>
    </row>
    <row r="51" spans="1:1003" x14ac:dyDescent="0.35">
      <c r="A51" s="28" t="s">
        <v>172</v>
      </c>
      <c r="B51" s="18"/>
      <c r="C51" s="18"/>
      <c r="D51" s="18"/>
      <c r="E51" s="20"/>
      <c r="F51" s="18"/>
      <c r="G51" s="18"/>
      <c r="H51" s="18"/>
      <c r="I51" s="18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1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  <c r="TE51" s="13"/>
      <c r="TF51" s="13"/>
      <c r="TG51" s="13"/>
      <c r="TH51" s="13"/>
      <c r="TI51" s="13"/>
      <c r="TJ51" s="13"/>
      <c r="TK51" s="13"/>
      <c r="TL51" s="13"/>
      <c r="TM51" s="13"/>
      <c r="TN51" s="13"/>
      <c r="TO51" s="13"/>
      <c r="TP51" s="13"/>
      <c r="TQ51" s="13"/>
      <c r="TR51" s="13"/>
      <c r="TS51" s="13"/>
      <c r="TT51" s="13"/>
      <c r="TU51" s="13"/>
      <c r="TV51" s="13"/>
      <c r="TW51" s="13"/>
      <c r="TX51" s="13"/>
      <c r="TY51" s="13"/>
      <c r="TZ51" s="13"/>
      <c r="UA51" s="13"/>
      <c r="UB51" s="13"/>
      <c r="UC51" s="13"/>
      <c r="UD51" s="13"/>
      <c r="UE51" s="13"/>
      <c r="UF51" s="13"/>
      <c r="UG51" s="13"/>
      <c r="UH51" s="13"/>
      <c r="UI51" s="13"/>
      <c r="UJ51" s="13"/>
      <c r="UK51" s="13"/>
      <c r="UL51" s="13"/>
      <c r="UM51" s="13"/>
      <c r="UN51" s="13"/>
      <c r="UO51" s="13"/>
      <c r="UP51" s="13"/>
      <c r="UQ51" s="13"/>
      <c r="UR51" s="13"/>
      <c r="US51" s="13"/>
      <c r="UT51" s="13"/>
      <c r="UU51" s="13"/>
      <c r="UV51" s="13"/>
      <c r="UW51" s="13"/>
      <c r="UX51" s="13"/>
      <c r="UY51" s="13"/>
      <c r="UZ51" s="13"/>
      <c r="VA51" s="13"/>
      <c r="VB51" s="13"/>
      <c r="VC51" s="13"/>
      <c r="VD51" s="13"/>
      <c r="VE51" s="13"/>
      <c r="VF51" s="13"/>
      <c r="VG51" s="13"/>
      <c r="VH51" s="13"/>
      <c r="VI51" s="13"/>
      <c r="VJ51" s="13"/>
      <c r="VK51" s="13"/>
      <c r="VL51" s="13"/>
      <c r="VM51" s="13"/>
      <c r="VN51" s="13"/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  <c r="AAM51" s="13"/>
      <c r="AAN51" s="13"/>
      <c r="AAO51" s="13"/>
      <c r="AAP51" s="13"/>
      <c r="AAQ51" s="13"/>
      <c r="AAR51" s="13"/>
      <c r="AAS51" s="13"/>
      <c r="AAT51" s="13"/>
      <c r="AAU51" s="13"/>
      <c r="AAV51" s="13"/>
      <c r="AAW51" s="13"/>
      <c r="AAX51" s="13"/>
      <c r="AAY51" s="13"/>
      <c r="AAZ51" s="13"/>
      <c r="ABA51" s="13"/>
      <c r="ABB51" s="13"/>
      <c r="ABC51" s="13"/>
      <c r="ABD51" s="13"/>
      <c r="ABE51" s="13"/>
      <c r="ABF51" s="13"/>
      <c r="ABG51" s="13"/>
      <c r="ABH51" s="13"/>
      <c r="ABI51" s="13"/>
      <c r="ABJ51" s="13"/>
      <c r="ABK51" s="13"/>
      <c r="ABL51" s="13"/>
      <c r="ABM51" s="13"/>
      <c r="ABN51" s="13"/>
      <c r="ABO51" s="13"/>
      <c r="ABP51" s="13"/>
      <c r="ABQ51" s="13"/>
      <c r="ABR51" s="13"/>
      <c r="ABS51" s="13"/>
      <c r="ABT51" s="13"/>
      <c r="ABU51" s="13"/>
      <c r="ABV51" s="13"/>
      <c r="ABW51" s="13"/>
      <c r="ABX51" s="13"/>
      <c r="ABY51" s="13"/>
      <c r="ABZ51" s="13"/>
      <c r="ACA51" s="13"/>
      <c r="ACB51" s="13"/>
      <c r="ACC51" s="13"/>
      <c r="ACD51" s="13"/>
      <c r="ACE51" s="13"/>
      <c r="ACF51" s="13"/>
      <c r="ACG51" s="13"/>
      <c r="ACH51" s="13"/>
      <c r="ACI51" s="13"/>
      <c r="ACJ51" s="13"/>
      <c r="ACK51" s="13"/>
      <c r="ACL51" s="13"/>
      <c r="ACM51" s="13"/>
      <c r="ACN51" s="13"/>
      <c r="ACO51" s="13"/>
      <c r="ACP51" s="13"/>
      <c r="ACQ51" s="13"/>
      <c r="ACR51" s="13"/>
      <c r="ACS51" s="13"/>
      <c r="ACT51" s="13"/>
      <c r="ACU51" s="13"/>
      <c r="ACV51" s="13"/>
      <c r="ACW51" s="13"/>
      <c r="ACX51" s="13"/>
      <c r="ACY51" s="13"/>
      <c r="ACZ51" s="13"/>
      <c r="ADA51" s="13"/>
      <c r="ADB51" s="13"/>
      <c r="ADC51" s="13"/>
      <c r="ADD51" s="13"/>
      <c r="ADE51" s="13"/>
      <c r="ADF51" s="13"/>
      <c r="ADG51" s="13"/>
      <c r="ADH51" s="13"/>
      <c r="ADI51" s="13"/>
      <c r="ADJ51" s="13"/>
      <c r="ADK51" s="13"/>
      <c r="ADL51" s="13"/>
      <c r="ADM51" s="13"/>
      <c r="ADN51" s="13"/>
      <c r="ADO51" s="13"/>
      <c r="ADP51" s="13"/>
      <c r="ADQ51" s="13"/>
      <c r="ADR51" s="13"/>
      <c r="ADS51" s="13"/>
      <c r="ADT51" s="13"/>
      <c r="ADU51" s="13"/>
      <c r="ADV51" s="13"/>
      <c r="ADW51" s="13"/>
      <c r="ADX51" s="13"/>
      <c r="ADY51" s="13"/>
      <c r="ADZ51" s="13"/>
      <c r="AEA51" s="13"/>
      <c r="AEB51" s="13"/>
      <c r="AEC51" s="13"/>
      <c r="AED51" s="13"/>
      <c r="AEE51" s="13"/>
      <c r="AEF51" s="13"/>
      <c r="AEG51" s="13"/>
      <c r="AEH51" s="13"/>
      <c r="AEI51" s="13"/>
      <c r="AEJ51" s="13"/>
      <c r="AEK51" s="13"/>
      <c r="AEL51" s="13"/>
      <c r="AEM51" s="13"/>
      <c r="AEN51" s="13"/>
      <c r="AEO51" s="13"/>
      <c r="AEP51" s="13"/>
      <c r="AEQ51" s="13"/>
      <c r="AER51" s="13"/>
      <c r="AES51" s="13"/>
      <c r="AET51" s="13"/>
      <c r="AEU51" s="13"/>
      <c r="AEV51" s="13"/>
      <c r="AEW51" s="13"/>
      <c r="AEX51" s="13"/>
      <c r="AEY51" s="13"/>
      <c r="AEZ51" s="13"/>
      <c r="AFA51" s="13"/>
      <c r="AFB51" s="13"/>
      <c r="AFC51" s="13"/>
      <c r="AFD51" s="13"/>
      <c r="AFE51" s="13"/>
      <c r="AFF51" s="13"/>
      <c r="AFG51" s="13"/>
      <c r="AFH51" s="13"/>
      <c r="AFI51" s="13"/>
      <c r="AFJ51" s="13"/>
      <c r="AFK51" s="13"/>
      <c r="AFL51" s="13"/>
      <c r="AFM51" s="13"/>
      <c r="AFN51" s="13"/>
      <c r="AFO51" s="13"/>
      <c r="AFP51" s="13"/>
      <c r="AFQ51" s="13"/>
      <c r="AFR51" s="13"/>
      <c r="AFS51" s="13"/>
      <c r="AFT51" s="13"/>
      <c r="AFU51" s="13"/>
      <c r="AFV51" s="13"/>
      <c r="AFW51" s="13"/>
      <c r="AFX51" s="13"/>
      <c r="AFY51" s="13"/>
      <c r="AFZ51" s="13"/>
      <c r="AGA51" s="13"/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  <c r="AKZ51" s="13"/>
      <c r="ALA51" s="13"/>
      <c r="ALB51" s="13"/>
      <c r="ALC51" s="13"/>
      <c r="ALD51" s="13"/>
      <c r="ALE51" s="13"/>
      <c r="ALF51" s="13"/>
      <c r="ALG51" s="13"/>
      <c r="ALH51" s="13"/>
      <c r="ALI51" s="13"/>
      <c r="ALJ51" s="13"/>
      <c r="ALK51" s="13"/>
      <c r="ALL51" s="13"/>
      <c r="ALM51" s="13"/>
      <c r="ALN51" s="13"/>
      <c r="ALO51" s="13"/>
    </row>
  </sheetData>
  <pageMargins left="0.85" right="0.5" top="0.75" bottom="0.17" header="0.17" footer="0.17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22"/>
  <sheetViews>
    <sheetView zoomScaleNormal="100" zoomScaleSheetLayoutView="100" workbookViewId="0">
      <selection activeCell="C15" sqref="C15"/>
    </sheetView>
  </sheetViews>
  <sheetFormatPr defaultColWidth="9.109375" defaultRowHeight="14.4" x14ac:dyDescent="0.35"/>
  <cols>
    <col min="1" max="1" width="5" style="2" customWidth="1"/>
    <col min="2" max="2" width="40.5546875" style="2" customWidth="1"/>
    <col min="3" max="3" width="29.21875" style="15" customWidth="1"/>
    <col min="4" max="4" width="13.33203125" style="73" customWidth="1"/>
    <col min="5" max="5" width="0.5546875" style="2" customWidth="1"/>
    <col min="6" max="6" width="12.109375" style="77" hidden="1" customWidth="1"/>
    <col min="7" max="7" width="12.5546875" style="78" customWidth="1"/>
    <col min="8" max="8" width="9.109375" style="2"/>
    <col min="9" max="9" width="15.33203125" style="2" bestFit="1" customWidth="1"/>
    <col min="10" max="16384" width="9.109375" style="2"/>
  </cols>
  <sheetData>
    <row r="1" spans="1:9" x14ac:dyDescent="0.35">
      <c r="A1" s="1" t="s">
        <v>142</v>
      </c>
      <c r="B1" s="34"/>
      <c r="C1" s="34"/>
      <c r="D1" s="152" t="s">
        <v>66</v>
      </c>
      <c r="E1" s="34"/>
      <c r="F1" s="38"/>
      <c r="G1" s="66"/>
    </row>
    <row r="2" spans="1:9" x14ac:dyDescent="0.35">
      <c r="A2" s="30" t="s">
        <v>78</v>
      </c>
      <c r="B2" s="35"/>
      <c r="C2" s="35"/>
      <c r="D2" s="81"/>
      <c r="E2" s="67"/>
      <c r="F2" s="38"/>
      <c r="G2" s="66"/>
    </row>
    <row r="3" spans="1:9" x14ac:dyDescent="0.35">
      <c r="A3" s="11" t="s">
        <v>156</v>
      </c>
      <c r="B3" s="35"/>
      <c r="C3" s="35"/>
      <c r="D3" s="9">
        <v>2025</v>
      </c>
      <c r="E3" s="67"/>
      <c r="F3" s="38"/>
      <c r="G3" s="66"/>
    </row>
    <row r="4" spans="1:9" x14ac:dyDescent="0.35">
      <c r="A4" s="36"/>
      <c r="B4" s="37"/>
      <c r="C4" s="36"/>
      <c r="D4" s="85" t="s">
        <v>11</v>
      </c>
      <c r="E4" s="37"/>
      <c r="F4" s="68" t="s">
        <v>10</v>
      </c>
      <c r="G4" s="69"/>
    </row>
    <row r="5" spans="1:9" x14ac:dyDescent="0.35">
      <c r="A5" s="36"/>
      <c r="B5" s="36"/>
      <c r="C5" s="36"/>
      <c r="D5" s="2"/>
      <c r="E5" s="36"/>
      <c r="F5" s="68" t="s">
        <v>11</v>
      </c>
      <c r="G5" s="69"/>
    </row>
    <row r="6" spans="1:9" x14ac:dyDescent="0.35">
      <c r="A6" s="3">
        <v>4</v>
      </c>
      <c r="B6" s="1" t="s">
        <v>68</v>
      </c>
      <c r="C6" s="3"/>
      <c r="E6" s="1"/>
      <c r="F6" s="51"/>
      <c r="G6" s="70"/>
    </row>
    <row r="7" spans="1:9" x14ac:dyDescent="0.35">
      <c r="A7" s="3"/>
      <c r="B7" s="2" t="s">
        <v>141</v>
      </c>
      <c r="D7" s="73">
        <f>+TB!C18</f>
        <v>2328236</v>
      </c>
      <c r="E7" s="1"/>
      <c r="F7" s="51"/>
      <c r="G7" s="70"/>
    </row>
    <row r="8" spans="1:9" ht="15" thickBot="1" x14ac:dyDescent="0.4">
      <c r="D8" s="116">
        <f>D7</f>
        <v>2328236</v>
      </c>
      <c r="F8" s="71"/>
      <c r="G8" s="72"/>
      <c r="I8" s="73"/>
    </row>
    <row r="9" spans="1:9" ht="15" thickTop="1" x14ac:dyDescent="0.35">
      <c r="D9" s="121"/>
      <c r="F9" s="60"/>
      <c r="G9" s="72"/>
      <c r="I9" s="73"/>
    </row>
    <row r="10" spans="1:9" x14ac:dyDescent="0.35">
      <c r="A10" s="3">
        <v>5</v>
      </c>
      <c r="B10" s="1" t="s">
        <v>12</v>
      </c>
      <c r="C10" s="3"/>
      <c r="E10" s="1"/>
      <c r="F10" s="51"/>
      <c r="G10" s="70"/>
    </row>
    <row r="11" spans="1:9" x14ac:dyDescent="0.35">
      <c r="A11" s="3"/>
      <c r="B11" s="2" t="s">
        <v>133</v>
      </c>
      <c r="C11" s="76"/>
      <c r="D11" s="120">
        <f>+TB!B24</f>
        <v>15000</v>
      </c>
      <c r="E11" s="1"/>
      <c r="F11" s="38"/>
      <c r="G11" s="70"/>
    </row>
    <row r="12" spans="1:9" x14ac:dyDescent="0.35">
      <c r="A12" s="3"/>
      <c r="B12" s="2" t="s">
        <v>99</v>
      </c>
      <c r="C12" s="76"/>
      <c r="D12" s="120">
        <f>+TB!B26</f>
        <v>25000</v>
      </c>
      <c r="E12" s="1"/>
      <c r="F12" s="38"/>
      <c r="G12" s="70"/>
    </row>
    <row r="13" spans="1:9" ht="15" thickBot="1" x14ac:dyDescent="0.4">
      <c r="D13" s="116">
        <f>SUM(D11:D12)</f>
        <v>40000</v>
      </c>
      <c r="E13" s="46"/>
      <c r="F13" s="52"/>
      <c r="G13" s="75"/>
    </row>
    <row r="14" spans="1:9" ht="14.25" customHeight="1" thickTop="1" x14ac:dyDescent="0.35">
      <c r="B14" s="6"/>
      <c r="C14" s="76"/>
      <c r="D14" s="120"/>
      <c r="F14" s="38"/>
      <c r="G14" s="66"/>
    </row>
    <row r="15" spans="1:9" x14ac:dyDescent="0.35">
      <c r="A15" s="3">
        <v>6</v>
      </c>
      <c r="B15" s="1" t="s">
        <v>34</v>
      </c>
      <c r="C15" s="3"/>
      <c r="D15" s="2"/>
    </row>
    <row r="16" spans="1:9" x14ac:dyDescent="0.35">
      <c r="B16" s="2" t="s">
        <v>145</v>
      </c>
      <c r="C16" s="3"/>
      <c r="D16" s="121">
        <f>+TB!B25</f>
        <v>163480</v>
      </c>
    </row>
    <row r="17" spans="1:4" ht="15" thickBot="1" x14ac:dyDescent="0.4">
      <c r="B17" s="1"/>
      <c r="C17" s="3"/>
      <c r="D17" s="116">
        <f>SUM(D16)</f>
        <v>163480</v>
      </c>
    </row>
    <row r="18" spans="1:4" ht="15" thickTop="1" x14ac:dyDescent="0.35">
      <c r="B18" s="1"/>
      <c r="C18" s="3"/>
      <c r="D18" s="121"/>
    </row>
    <row r="19" spans="1:4" x14ac:dyDescent="0.35">
      <c r="A19" s="9">
        <v>7</v>
      </c>
      <c r="B19" s="30" t="s">
        <v>35</v>
      </c>
    </row>
    <row r="20" spans="1:4" x14ac:dyDescent="0.35">
      <c r="A20" s="65"/>
      <c r="B20" s="13" t="s">
        <v>102</v>
      </c>
      <c r="D20" s="115">
        <f>TB!B23</f>
        <v>1000</v>
      </c>
    </row>
    <row r="21" spans="1:4" ht="15" thickBot="1" x14ac:dyDescent="0.4">
      <c r="D21" s="117">
        <f>+D20</f>
        <v>1000</v>
      </c>
    </row>
    <row r="22" spans="1:4" ht="15" thickTop="1" x14ac:dyDescent="0.35"/>
  </sheetData>
  <pageMargins left="0.85" right="0.5" top="0.75" bottom="0.17" header="0.17" footer="0.17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MD37"/>
  <sheetViews>
    <sheetView zoomScaleNormal="100" zoomScaleSheetLayoutView="100" workbookViewId="0">
      <selection activeCell="G11" sqref="G11"/>
    </sheetView>
  </sheetViews>
  <sheetFormatPr defaultColWidth="9.109375" defaultRowHeight="14.4" x14ac:dyDescent="0.35"/>
  <cols>
    <col min="1" max="1" width="5" style="15" customWidth="1"/>
    <col min="2" max="2" width="25" style="2" customWidth="1"/>
    <col min="3" max="3" width="6.33203125" style="2" customWidth="1"/>
    <col min="4" max="4" width="11.109375" style="2" customWidth="1"/>
    <col min="5" max="5" width="12.5546875" style="38" customWidth="1"/>
    <col min="6" max="6" width="0.6640625" style="17" customWidth="1"/>
    <col min="7" max="7" width="13" style="2" customWidth="1"/>
    <col min="8" max="8" width="12.6640625" style="2" hidden="1" customWidth="1"/>
    <col min="9" max="9" width="0.6640625" style="2" customWidth="1"/>
    <col min="10" max="10" width="13.33203125" style="2" customWidth="1"/>
    <col min="11" max="1018" width="9.109375" style="2"/>
    <col min="1019" max="16384" width="9.109375" style="13"/>
  </cols>
  <sheetData>
    <row r="1" spans="1:13" x14ac:dyDescent="0.35">
      <c r="A1" s="1" t="s">
        <v>142</v>
      </c>
      <c r="B1" s="1"/>
      <c r="C1" s="1"/>
      <c r="D1" s="1"/>
      <c r="E1" s="1"/>
      <c r="F1" s="1"/>
      <c r="G1" s="1"/>
      <c r="H1" s="1"/>
      <c r="I1" s="1"/>
      <c r="J1" s="152" t="s">
        <v>67</v>
      </c>
    </row>
    <row r="2" spans="1:13" x14ac:dyDescent="0.35">
      <c r="A2" s="79" t="s">
        <v>69</v>
      </c>
      <c r="B2" s="79"/>
      <c r="C2" s="79"/>
      <c r="D2" s="79"/>
      <c r="E2" s="79"/>
      <c r="F2" s="79"/>
      <c r="G2" s="79"/>
      <c r="H2" s="79"/>
      <c r="I2" s="79"/>
      <c r="J2" s="79"/>
    </row>
    <row r="3" spans="1:13" x14ac:dyDescent="0.35">
      <c r="A3" s="80"/>
      <c r="B3" s="92"/>
      <c r="C3" s="80"/>
      <c r="D3" s="80"/>
      <c r="E3" s="80"/>
      <c r="F3" s="80"/>
      <c r="G3" s="80"/>
      <c r="H3" s="80"/>
      <c r="I3" s="80"/>
      <c r="J3" s="80"/>
    </row>
    <row r="4" spans="1:13" x14ac:dyDescent="0.35">
      <c r="A4" s="36">
        <v>8</v>
      </c>
      <c r="B4" s="92" t="s">
        <v>137</v>
      </c>
      <c r="C4" s="37"/>
      <c r="D4" s="37"/>
    </row>
    <row r="5" spans="1:13" ht="28.8" x14ac:dyDescent="0.35">
      <c r="A5" s="36"/>
      <c r="B5" s="96" t="s">
        <v>26</v>
      </c>
      <c r="C5" s="37"/>
      <c r="D5" s="37"/>
      <c r="E5" s="39" t="s">
        <v>109</v>
      </c>
      <c r="F5" s="39"/>
      <c r="G5" s="40" t="s">
        <v>13</v>
      </c>
      <c r="H5" s="41" t="s">
        <v>14</v>
      </c>
      <c r="I5" s="42"/>
      <c r="J5" s="43" t="s">
        <v>110</v>
      </c>
    </row>
    <row r="6" spans="1:13" x14ac:dyDescent="0.35">
      <c r="A6" s="36"/>
      <c r="B6" s="44" t="str">
        <f>+TB!A8</f>
        <v>Furniture &amp; Fittings</v>
      </c>
      <c r="C6" s="44"/>
      <c r="D6" s="44"/>
      <c r="E6" s="131">
        <v>0</v>
      </c>
      <c r="F6" s="131"/>
      <c r="G6" s="131">
        <f>TB!B8</f>
        <v>153700</v>
      </c>
      <c r="H6" s="118"/>
      <c r="I6" s="119"/>
      <c r="J6" s="118">
        <f>SUM(E6:G6)</f>
        <v>153700</v>
      </c>
    </row>
    <row r="7" spans="1:13" ht="15" thickBot="1" x14ac:dyDescent="0.4">
      <c r="A7" s="36"/>
      <c r="B7" s="44"/>
      <c r="C7" s="44"/>
      <c r="D7" s="44"/>
      <c r="E7" s="132">
        <f>SUM(E6:E6)</f>
        <v>0</v>
      </c>
      <c r="F7" s="131"/>
      <c r="G7" s="132">
        <f>SUM(G6:G6)</f>
        <v>153700</v>
      </c>
      <c r="H7" s="118"/>
      <c r="I7" s="119"/>
      <c r="J7" s="132">
        <f>SUM(J6:J6)</f>
        <v>153700</v>
      </c>
    </row>
    <row r="8" spans="1:13" ht="15" thickTop="1" x14ac:dyDescent="0.35">
      <c r="A8" s="36"/>
      <c r="B8" s="37"/>
      <c r="C8" s="37"/>
      <c r="D8" s="37"/>
      <c r="E8" s="47"/>
      <c r="F8" s="47"/>
      <c r="G8" s="47"/>
      <c r="H8" s="47"/>
      <c r="I8" s="47"/>
      <c r="J8" s="46"/>
    </row>
    <row r="9" spans="1:13" x14ac:dyDescent="0.35">
      <c r="A9" s="36"/>
      <c r="B9" s="37"/>
      <c r="C9" s="37"/>
      <c r="D9" s="37"/>
      <c r="E9" s="47"/>
      <c r="F9" s="47"/>
      <c r="G9" s="47"/>
      <c r="H9" s="17"/>
      <c r="I9" s="17"/>
      <c r="J9" s="17"/>
    </row>
    <row r="10" spans="1:13" ht="28.8" x14ac:dyDescent="0.35">
      <c r="A10" s="36"/>
      <c r="B10" s="36" t="s">
        <v>111</v>
      </c>
      <c r="C10" s="37"/>
      <c r="D10" s="37"/>
      <c r="E10" s="39" t="s">
        <v>109</v>
      </c>
      <c r="F10" s="39"/>
      <c r="G10" s="39" t="s">
        <v>15</v>
      </c>
      <c r="H10" s="41" t="s">
        <v>14</v>
      </c>
      <c r="I10" s="42"/>
      <c r="J10" s="43" t="s">
        <v>110</v>
      </c>
      <c r="M10" s="49"/>
    </row>
    <row r="11" spans="1:13" x14ac:dyDescent="0.35">
      <c r="A11" s="50"/>
      <c r="B11" s="44" t="str">
        <f>B6</f>
        <v>Furniture &amp; Fittings</v>
      </c>
      <c r="C11" s="44"/>
      <c r="D11" s="44"/>
      <c r="E11" s="131">
        <v>0</v>
      </c>
      <c r="F11" s="131"/>
      <c r="G11" s="118">
        <f>PPE!G4</f>
        <v>28887.178082191782</v>
      </c>
      <c r="H11" s="118"/>
      <c r="I11" s="119"/>
      <c r="J11" s="137">
        <f>SUM(E11:G11)</f>
        <v>28887.178082191782</v>
      </c>
    </row>
    <row r="12" spans="1:13" ht="15" thickBot="1" x14ac:dyDescent="0.4">
      <c r="A12" s="50"/>
      <c r="B12" s="44"/>
      <c r="C12" s="44"/>
      <c r="D12" s="44"/>
      <c r="E12" s="132">
        <f>SUM(E11:E11)</f>
        <v>0</v>
      </c>
      <c r="F12" s="131"/>
      <c r="G12" s="171">
        <f>SUM(G11:G11)</f>
        <v>28887.178082191782</v>
      </c>
      <c r="H12" s="118"/>
      <c r="I12" s="119"/>
      <c r="J12" s="132">
        <f>SUM(J11:J11)</f>
        <v>28887.178082191782</v>
      </c>
    </row>
    <row r="13" spans="1:13" ht="15" thickTop="1" x14ac:dyDescent="0.35">
      <c r="A13" s="36"/>
      <c r="B13" s="44"/>
      <c r="C13" s="44"/>
      <c r="D13" s="44"/>
      <c r="E13" s="45"/>
      <c r="F13" s="45"/>
      <c r="G13" s="51"/>
      <c r="H13" s="48"/>
      <c r="I13" s="46"/>
      <c r="J13" s="38"/>
    </row>
    <row r="14" spans="1:13" ht="28.8" x14ac:dyDescent="0.35">
      <c r="A14" s="2"/>
      <c r="B14" s="96" t="s">
        <v>80</v>
      </c>
      <c r="J14" s="90" t="s">
        <v>132</v>
      </c>
    </row>
    <row r="15" spans="1:13" x14ac:dyDescent="0.35">
      <c r="A15" s="2"/>
      <c r="B15" s="44" t="str">
        <f>B11</f>
        <v>Furniture &amp; Fittings</v>
      </c>
      <c r="J15" s="74">
        <f>J6-J11</f>
        <v>124812.82191780822</v>
      </c>
    </row>
    <row r="16" spans="1:13" ht="15" thickBot="1" x14ac:dyDescent="0.4">
      <c r="A16" s="2"/>
      <c r="J16" s="138">
        <f>SUM(J15:J15)</f>
        <v>124812.82191780822</v>
      </c>
    </row>
    <row r="17" spans="1:1" ht="15" thickTop="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</sheetData>
  <pageMargins left="0.85" right="0.5" top="0.75" bottom="0.17" header="0.17" footer="0.17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K54"/>
  <sheetViews>
    <sheetView zoomScaleNormal="100" zoomScaleSheetLayoutView="100" workbookViewId="0">
      <selection activeCell="A4" sqref="A4"/>
    </sheetView>
  </sheetViews>
  <sheetFormatPr defaultColWidth="9.109375" defaultRowHeight="14.4" x14ac:dyDescent="0.35"/>
  <cols>
    <col min="1" max="1" width="20.109375" style="13" customWidth="1"/>
    <col min="2" max="2" width="12.5546875" style="13" bestFit="1" customWidth="1"/>
    <col min="3" max="3" width="5.88671875" style="13" customWidth="1"/>
    <col min="4" max="4" width="12.109375" style="13" customWidth="1"/>
    <col min="5" max="5" width="11.44140625" style="13" bestFit="1" customWidth="1"/>
    <col min="6" max="6" width="11.5546875" style="13" customWidth="1"/>
    <col min="7" max="7" width="0.6640625" style="13" customWidth="1"/>
    <col min="8" max="8" width="13.109375" style="13" customWidth="1"/>
    <col min="9" max="10" width="9.109375" style="13"/>
    <col min="11" max="11" width="10.6640625" style="13" bestFit="1" customWidth="1"/>
    <col min="12" max="16384" width="9.109375" style="13"/>
  </cols>
  <sheetData>
    <row r="1" spans="1:8" x14ac:dyDescent="0.35">
      <c r="A1" s="1" t="s">
        <v>142</v>
      </c>
      <c r="B1" s="30"/>
      <c r="F1" s="93"/>
      <c r="G1" s="94"/>
      <c r="H1" s="152" t="s">
        <v>81</v>
      </c>
    </row>
    <row r="2" spans="1:8" x14ac:dyDescent="0.35">
      <c r="A2" s="30" t="s">
        <v>82</v>
      </c>
      <c r="B2" s="30"/>
    </row>
    <row r="3" spans="1:8" x14ac:dyDescent="0.35">
      <c r="A3" s="30" t="s">
        <v>125</v>
      </c>
      <c r="B3" s="30"/>
    </row>
    <row r="4" spans="1:8" x14ac:dyDescent="0.35">
      <c r="A4" s="30" t="s">
        <v>143</v>
      </c>
    </row>
    <row r="5" spans="1:8" x14ac:dyDescent="0.35">
      <c r="A5" s="95"/>
      <c r="B5" s="95"/>
      <c r="D5" s="96"/>
      <c r="E5" s="96"/>
      <c r="H5" s="96" t="s">
        <v>11</v>
      </c>
    </row>
    <row r="6" spans="1:8" x14ac:dyDescent="0.35">
      <c r="A6" s="63" t="s">
        <v>83</v>
      </c>
      <c r="E6" s="21"/>
      <c r="H6" s="21">
        <f>+PL!D12</f>
        <v>2124756</v>
      </c>
    </row>
    <row r="7" spans="1:8" x14ac:dyDescent="0.35">
      <c r="A7" s="97"/>
      <c r="E7" s="21"/>
      <c r="H7" s="21"/>
    </row>
    <row r="8" spans="1:8" x14ac:dyDescent="0.35">
      <c r="A8" s="64" t="s">
        <v>84</v>
      </c>
      <c r="E8" s="21"/>
      <c r="H8" s="98">
        <v>0</v>
      </c>
    </row>
    <row r="9" spans="1:8" x14ac:dyDescent="0.35">
      <c r="E9" s="21"/>
      <c r="H9" s="21">
        <f>SUM(H6:H8)</f>
        <v>2124756</v>
      </c>
    </row>
    <row r="10" spans="1:8" x14ac:dyDescent="0.35">
      <c r="A10" s="30" t="s">
        <v>85</v>
      </c>
      <c r="B10" s="30"/>
      <c r="E10" s="21"/>
      <c r="H10" s="21"/>
    </row>
    <row r="11" spans="1:8" x14ac:dyDescent="0.35">
      <c r="A11" s="13" t="s">
        <v>127</v>
      </c>
      <c r="D11" s="99"/>
      <c r="F11" s="189">
        <f>'P10'!G12</f>
        <v>28887.178082191782</v>
      </c>
      <c r="H11" s="203">
        <f>+F11</f>
        <v>28887.178082191782</v>
      </c>
    </row>
    <row r="12" spans="1:8" x14ac:dyDescent="0.35">
      <c r="E12" s="21"/>
      <c r="H12" s="21">
        <f>SUM(H9:H11)</f>
        <v>2153643.1780821919</v>
      </c>
    </row>
    <row r="13" spans="1:8" x14ac:dyDescent="0.35">
      <c r="A13" s="30" t="s">
        <v>128</v>
      </c>
      <c r="B13" s="30"/>
      <c r="E13" s="21"/>
      <c r="H13" s="21"/>
    </row>
    <row r="14" spans="1:8" x14ac:dyDescent="0.35">
      <c r="A14" s="13" t="s">
        <v>86</v>
      </c>
      <c r="F14" s="65" t="s">
        <v>134</v>
      </c>
      <c r="H14" s="98" t="e">
        <f>-E42</f>
        <v>#REF!</v>
      </c>
    </row>
    <row r="15" spans="1:8" x14ac:dyDescent="0.35">
      <c r="A15" s="13" t="s">
        <v>87</v>
      </c>
      <c r="E15" s="21"/>
      <c r="H15" s="100" t="e">
        <f>SUM(H12:H14)</f>
        <v>#REF!</v>
      </c>
    </row>
    <row r="16" spans="1:8" x14ac:dyDescent="0.35">
      <c r="E16" s="101"/>
      <c r="H16" s="101"/>
    </row>
    <row r="17" spans="1:11" x14ac:dyDescent="0.35">
      <c r="A17" s="13" t="s">
        <v>88</v>
      </c>
      <c r="E17" s="101"/>
      <c r="H17" s="136" t="s">
        <v>161</v>
      </c>
    </row>
    <row r="18" spans="1:11" x14ac:dyDescent="0.35">
      <c r="E18" s="101"/>
      <c r="H18" s="101"/>
    </row>
    <row r="19" spans="1:11" hidden="1" x14ac:dyDescent="0.35">
      <c r="A19" s="102" t="s">
        <v>89</v>
      </c>
      <c r="E19" s="103" t="s">
        <v>90</v>
      </c>
      <c r="F19" s="32" t="str">
        <f>+H17</f>
        <v>Loss</v>
      </c>
      <c r="H19" s="101" t="e">
        <f>F19*0.3</f>
        <v>#VALUE!</v>
      </c>
    </row>
    <row r="20" spans="1:11" hidden="1" x14ac:dyDescent="0.35">
      <c r="E20" s="101"/>
      <c r="H20" s="101"/>
    </row>
    <row r="21" spans="1:11" hidden="1" x14ac:dyDescent="0.35">
      <c r="A21" s="104" t="s">
        <v>91</v>
      </c>
      <c r="E21" s="101"/>
      <c r="H21" s="101"/>
    </row>
    <row r="22" spans="1:11" hidden="1" x14ac:dyDescent="0.35">
      <c r="A22" s="13" t="s">
        <v>135</v>
      </c>
      <c r="E22" s="65">
        <v>24252</v>
      </c>
      <c r="F22" s="106">
        <v>0</v>
      </c>
      <c r="G22" s="105"/>
      <c r="H22" s="106">
        <f>-SUM(F22:F22)</f>
        <v>0</v>
      </c>
    </row>
    <row r="23" spans="1:11" ht="3.75" hidden="1" customHeight="1" x14ac:dyDescent="0.35">
      <c r="D23" s="65"/>
      <c r="E23" s="101"/>
      <c r="F23" s="101"/>
      <c r="G23" s="105"/>
      <c r="H23" s="101"/>
    </row>
    <row r="24" spans="1:11" ht="15" hidden="1" thickBot="1" x14ac:dyDescent="0.4">
      <c r="A24" s="30" t="s">
        <v>92</v>
      </c>
      <c r="E24" s="101"/>
      <c r="H24" s="107" t="e">
        <f>SUM(H19:H22)</f>
        <v>#VALUE!</v>
      </c>
      <c r="K24" s="29"/>
    </row>
    <row r="25" spans="1:11" ht="15" hidden="1" thickTop="1" x14ac:dyDescent="0.35">
      <c r="E25" s="101"/>
      <c r="H25" s="101"/>
    </row>
    <row r="26" spans="1:11" hidden="1" x14ac:dyDescent="0.35">
      <c r="E26" s="101"/>
      <c r="H26" s="101"/>
    </row>
    <row r="27" spans="1:11" x14ac:dyDescent="0.35">
      <c r="A27" s="63" t="s">
        <v>93</v>
      </c>
      <c r="B27" s="18"/>
      <c r="C27" s="18"/>
      <c r="D27" s="18"/>
      <c r="E27" s="101"/>
      <c r="F27" s="18"/>
      <c r="G27" s="18"/>
      <c r="H27" s="18"/>
    </row>
    <row r="28" spans="1:11" ht="7.2" customHeight="1" x14ac:dyDescent="0.35">
      <c r="E28" s="101"/>
      <c r="H28" s="101"/>
    </row>
    <row r="29" spans="1:11" x14ac:dyDescent="0.35">
      <c r="A29" s="87" t="s">
        <v>94</v>
      </c>
      <c r="B29" s="18"/>
      <c r="C29" s="18"/>
      <c r="D29" s="18"/>
      <c r="E29" s="18"/>
      <c r="F29" s="18"/>
      <c r="G29" s="18"/>
      <c r="H29" s="18"/>
    </row>
    <row r="30" spans="1:11" ht="6" customHeight="1" x14ac:dyDescent="0.35">
      <c r="A30" s="18"/>
      <c r="B30" s="18"/>
      <c r="C30" s="18"/>
      <c r="D30" s="18"/>
      <c r="E30" s="18"/>
      <c r="F30" s="18"/>
      <c r="G30" s="18"/>
      <c r="H30" s="18"/>
    </row>
    <row r="31" spans="1:11" ht="46.5" customHeight="1" x14ac:dyDescent="0.35">
      <c r="A31" s="108" t="s">
        <v>95</v>
      </c>
      <c r="B31" s="109" t="s">
        <v>26</v>
      </c>
      <c r="C31" s="96" t="s">
        <v>96</v>
      </c>
      <c r="D31" s="110" t="s">
        <v>129</v>
      </c>
      <c r="E31" s="90" t="s">
        <v>97</v>
      </c>
      <c r="F31" s="90" t="s">
        <v>130</v>
      </c>
      <c r="G31" s="90"/>
      <c r="H31" s="96" t="s">
        <v>98</v>
      </c>
    </row>
    <row r="32" spans="1:11" ht="4.8" customHeight="1" x14ac:dyDescent="0.35">
      <c r="A32" s="108"/>
      <c r="B32" s="109"/>
      <c r="C32" s="65"/>
      <c r="D32" s="111"/>
      <c r="E32" s="111"/>
      <c r="F32" s="111"/>
      <c r="G32" s="111"/>
      <c r="H32" s="65"/>
    </row>
    <row r="33" spans="1:8" x14ac:dyDescent="0.35">
      <c r="A33" s="108" t="s">
        <v>131</v>
      </c>
      <c r="B33" s="109"/>
      <c r="C33" s="65"/>
      <c r="D33" s="111"/>
      <c r="E33" s="111"/>
      <c r="F33" s="111"/>
      <c r="G33" s="111"/>
      <c r="H33" s="65"/>
    </row>
    <row r="34" spans="1:8" ht="5.4" customHeight="1" x14ac:dyDescent="0.35">
      <c r="A34" s="108"/>
      <c r="B34" s="109"/>
      <c r="C34" s="65"/>
      <c r="D34" s="111"/>
      <c r="E34" s="111"/>
      <c r="F34" s="111"/>
      <c r="G34" s="111"/>
      <c r="H34" s="65"/>
    </row>
    <row r="35" spans="1:8" x14ac:dyDescent="0.35">
      <c r="A35" s="108" t="str">
        <f>+'P10'!B6</f>
        <v>Furniture &amp; Fittings</v>
      </c>
      <c r="B35" s="165">
        <f>+'P10'!G6</f>
        <v>153700</v>
      </c>
      <c r="C35" s="65">
        <v>5</v>
      </c>
      <c r="D35" s="140">
        <v>0</v>
      </c>
      <c r="E35" s="139">
        <f>B35/C35</f>
        <v>30740</v>
      </c>
      <c r="F35" s="139">
        <f>D35+E35</f>
        <v>30740</v>
      </c>
      <c r="G35" s="111"/>
      <c r="H35" s="142">
        <f>B35-F35</f>
        <v>122960</v>
      </c>
    </row>
    <row r="36" spans="1:8" x14ac:dyDescent="0.35">
      <c r="A36" s="190" t="e">
        <f>+'P10'!#REF!</f>
        <v>#REF!</v>
      </c>
      <c r="B36" s="165" t="e">
        <f>+'P10'!#REF!</f>
        <v>#REF!</v>
      </c>
      <c r="C36" s="65">
        <v>5</v>
      </c>
      <c r="D36" s="199">
        <v>0</v>
      </c>
      <c r="E36" s="197" t="e">
        <f t="shared" ref="E36:E40" si="0">B36/C36</f>
        <v>#REF!</v>
      </c>
      <c r="F36" s="197" t="e">
        <f t="shared" ref="F36:F40" si="1">D36+E36</f>
        <v>#REF!</v>
      </c>
      <c r="G36" s="111"/>
      <c r="H36" s="201" t="e">
        <f t="shared" ref="H36:H40" si="2">B36-F36</f>
        <v>#REF!</v>
      </c>
    </row>
    <row r="37" spans="1:8" x14ac:dyDescent="0.35">
      <c r="A37" s="190" t="e">
        <f>+'P10'!#REF!</f>
        <v>#REF!</v>
      </c>
      <c r="B37" s="165" t="e">
        <f>+'P10'!#REF!</f>
        <v>#REF!</v>
      </c>
      <c r="C37" s="65">
        <v>5</v>
      </c>
      <c r="D37" s="199">
        <v>0</v>
      </c>
      <c r="E37" s="197" t="e">
        <f t="shared" si="0"/>
        <v>#REF!</v>
      </c>
      <c r="F37" s="197" t="e">
        <f t="shared" si="1"/>
        <v>#REF!</v>
      </c>
      <c r="G37" s="111"/>
      <c r="H37" s="201" t="e">
        <f t="shared" si="2"/>
        <v>#REF!</v>
      </c>
    </row>
    <row r="38" spans="1:8" s="180" customFormat="1" x14ac:dyDescent="0.35">
      <c r="A38" s="190" t="e">
        <f>+'P10'!#REF!</f>
        <v>#REF!</v>
      </c>
      <c r="B38" s="165" t="e">
        <f>+'P10'!#REF!</f>
        <v>#REF!</v>
      </c>
      <c r="C38" s="186">
        <v>5</v>
      </c>
      <c r="D38" s="199">
        <v>0</v>
      </c>
      <c r="E38" s="197" t="e">
        <f t="shared" si="0"/>
        <v>#REF!</v>
      </c>
      <c r="F38" s="197" t="e">
        <f t="shared" si="1"/>
        <v>#REF!</v>
      </c>
      <c r="G38" s="191"/>
      <c r="H38" s="201" t="e">
        <f t="shared" si="2"/>
        <v>#REF!</v>
      </c>
    </row>
    <row r="39" spans="1:8" s="180" customFormat="1" x14ac:dyDescent="0.35">
      <c r="A39" s="190" t="e">
        <f>+'P10'!#REF!</f>
        <v>#REF!</v>
      </c>
      <c r="B39" s="165" t="e">
        <f>+'P10'!#REF!</f>
        <v>#REF!</v>
      </c>
      <c r="C39" s="186">
        <v>5</v>
      </c>
      <c r="D39" s="199">
        <v>0</v>
      </c>
      <c r="E39" s="197" t="e">
        <f t="shared" si="0"/>
        <v>#REF!</v>
      </c>
      <c r="F39" s="197" t="e">
        <f t="shared" si="1"/>
        <v>#REF!</v>
      </c>
      <c r="G39" s="191"/>
      <c r="H39" s="201" t="e">
        <f t="shared" si="2"/>
        <v>#REF!</v>
      </c>
    </row>
    <row r="40" spans="1:8" s="180" customFormat="1" x14ac:dyDescent="0.35">
      <c r="A40" s="190" t="e">
        <f>+'P10'!#REF!</f>
        <v>#REF!</v>
      </c>
      <c r="B40" s="165" t="e">
        <f>+'P10'!#REF!</f>
        <v>#REF!</v>
      </c>
      <c r="C40" s="186">
        <v>5</v>
      </c>
      <c r="D40" s="199">
        <v>0</v>
      </c>
      <c r="E40" s="197" t="e">
        <f t="shared" si="0"/>
        <v>#REF!</v>
      </c>
      <c r="F40" s="197" t="e">
        <f t="shared" si="1"/>
        <v>#REF!</v>
      </c>
      <c r="G40" s="191"/>
      <c r="H40" s="201" t="e">
        <f t="shared" si="2"/>
        <v>#REF!</v>
      </c>
    </row>
    <row r="41" spans="1:8" s="180" customFormat="1" ht="4.8" customHeight="1" x14ac:dyDescent="0.35">
      <c r="A41" s="190"/>
      <c r="B41" s="198"/>
      <c r="C41" s="186"/>
      <c r="D41" s="199"/>
      <c r="E41" s="197"/>
      <c r="F41" s="197"/>
      <c r="G41" s="191"/>
      <c r="H41" s="201"/>
    </row>
    <row r="42" spans="1:8" ht="15" thickBot="1" x14ac:dyDescent="0.4">
      <c r="A42" s="63" t="s">
        <v>27</v>
      </c>
      <c r="B42" s="141" t="e">
        <f>SUM(B35:B40)</f>
        <v>#REF!</v>
      </c>
      <c r="C42" s="113"/>
      <c r="D42" s="200">
        <f>SUM(D35:D40)</f>
        <v>0</v>
      </c>
      <c r="E42" s="200" t="e">
        <f t="shared" ref="E42:H42" si="3">SUM(E35:E40)</f>
        <v>#REF!</v>
      </c>
      <c r="F42" s="200" t="e">
        <f t="shared" si="3"/>
        <v>#REF!</v>
      </c>
      <c r="G42" s="113"/>
      <c r="H42" s="200" t="e">
        <f t="shared" si="3"/>
        <v>#REF!</v>
      </c>
    </row>
    <row r="43" spans="1:8" ht="15" thickTop="1" x14ac:dyDescent="0.35">
      <c r="A43" s="18"/>
      <c r="B43" s="112"/>
      <c r="C43" s="112"/>
      <c r="D43" s="112"/>
      <c r="E43" s="112"/>
      <c r="F43" s="112"/>
      <c r="G43" s="112"/>
      <c r="H43" s="112"/>
    </row>
    <row r="45" spans="1:8" x14ac:dyDescent="0.35">
      <c r="A45" s="187" t="s">
        <v>162</v>
      </c>
    </row>
    <row r="46" spans="1:8" x14ac:dyDescent="0.35">
      <c r="A46" s="182" t="s">
        <v>163</v>
      </c>
      <c r="H46" s="162">
        <v>0</v>
      </c>
    </row>
    <row r="47" spans="1:8" x14ac:dyDescent="0.35">
      <c r="A47" s="182" t="s">
        <v>164</v>
      </c>
      <c r="H47" s="206" t="e">
        <f>-H15</f>
        <v>#REF!</v>
      </c>
    </row>
    <row r="48" spans="1:8" x14ac:dyDescent="0.35">
      <c r="A48" s="182"/>
      <c r="H48" s="162" t="e">
        <f>SUM(H46:H47)</f>
        <v>#REF!</v>
      </c>
    </row>
    <row r="49" spans="1:8" x14ac:dyDescent="0.35">
      <c r="A49" s="182"/>
    </row>
    <row r="50" spans="1:8" x14ac:dyDescent="0.35">
      <c r="A50" s="182" t="s">
        <v>165</v>
      </c>
    </row>
    <row r="51" spans="1:8" x14ac:dyDescent="0.35">
      <c r="A51" s="182" t="s">
        <v>166</v>
      </c>
      <c r="H51" s="162">
        <v>0</v>
      </c>
    </row>
    <row r="52" spans="1:8" x14ac:dyDescent="0.35">
      <c r="A52" s="182" t="s">
        <v>167</v>
      </c>
      <c r="H52" s="162">
        <v>0</v>
      </c>
    </row>
    <row r="53" spans="1:8" ht="15" thickBot="1" x14ac:dyDescent="0.4">
      <c r="A53" s="182" t="s">
        <v>168</v>
      </c>
      <c r="H53" s="207" t="e">
        <f>SUM(H48:H52)</f>
        <v>#REF!</v>
      </c>
    </row>
    <row r="54" spans="1:8" ht="15" thickTop="1" x14ac:dyDescent="0.35"/>
  </sheetData>
  <pageMargins left="0.85" right="0.5" top="0.75" bottom="0.17" header="0.17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PPE</vt:lpstr>
      <vt:lpstr>Working</vt:lpstr>
      <vt:lpstr>TB</vt:lpstr>
      <vt:lpstr>P11</vt:lpstr>
      <vt:lpstr>CE</vt:lpstr>
      <vt:lpstr>CF</vt:lpstr>
      <vt:lpstr>PL</vt:lpstr>
      <vt:lpstr>BS</vt:lpstr>
      <vt:lpstr>P09</vt:lpstr>
      <vt:lpstr>P10</vt:lpstr>
      <vt:lpstr>Income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Ventura</dc:creator>
  <cp:lastModifiedBy>Malinda Chirath</cp:lastModifiedBy>
  <cp:lastPrinted>2026-05-13T18:40:41Z</cp:lastPrinted>
  <dcterms:created xsi:type="dcterms:W3CDTF">2023-10-31T06:33:17Z</dcterms:created>
  <dcterms:modified xsi:type="dcterms:W3CDTF">2026-09-29T05:45:08Z</dcterms:modified>
</cp:coreProperties>
</file>