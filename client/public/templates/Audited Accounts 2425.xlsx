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2A76FDB0-5174-4566-BCAF-4B26F66AAAE1}" xr6:coauthVersionLast="36" xr6:coauthVersionMax="47" xr10:uidLastSave="{00000000-0000-0000-0000-000000000000}"/>
  <bookViews>
    <workbookView xWindow="0" yWindow="0" windowWidth="12072" windowHeight="4512" tabRatio="705" firstSheet="1" activeTab="7" xr2:uid="{00000000-000D-0000-FFFF-FFFF00000000}"/>
  </bookViews>
  <sheets>
    <sheet name="PPE" sheetId="24" r:id="rId1"/>
    <sheet name="Working" sheetId="25" r:id="rId2"/>
    <sheet name="TB" sheetId="7" r:id="rId3"/>
    <sheet name="P11" sheetId="19" r:id="rId4"/>
    <sheet name="CE" sheetId="8" r:id="rId5"/>
    <sheet name="CF" sheetId="15" r:id="rId6"/>
    <sheet name="PL" sheetId="2" r:id="rId7"/>
    <sheet name="BS" sheetId="1" r:id="rId8"/>
    <sheet name="P09" sheetId="6" r:id="rId9"/>
    <sheet name="P10" sheetId="5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J21" i="19" l="1"/>
  <c r="J20" i="19"/>
  <c r="B25" i="7"/>
  <c r="D16" i="6" s="1"/>
  <c r="G17" i="15" l="1"/>
  <c r="D42" i="20" l="1"/>
  <c r="E27" i="1"/>
  <c r="E12" i="1"/>
  <c r="D17" i="6"/>
  <c r="C14" i="7"/>
  <c r="C12" i="7"/>
  <c r="C11" i="7"/>
  <c r="B6" i="5" l="1"/>
  <c r="F4" i="24"/>
  <c r="G4" i="24" s="1"/>
  <c r="B8" i="7"/>
  <c r="G6" i="5" s="1"/>
  <c r="B14" i="25"/>
  <c r="C13" i="25"/>
  <c r="C14" i="25" s="1"/>
  <c r="C18" i="7"/>
  <c r="G34" i="15"/>
  <c r="G14" i="15"/>
  <c r="D13" i="25" l="1"/>
  <c r="D14" i="25" s="1"/>
  <c r="B11" i="5"/>
  <c r="B15" i="5" s="1"/>
  <c r="A35" i="20"/>
  <c r="A36" i="20"/>
  <c r="A37" i="20"/>
  <c r="A38" i="20"/>
  <c r="A39" i="20"/>
  <c r="A40" i="20"/>
  <c r="J6" i="5"/>
  <c r="B35" i="20"/>
  <c r="E35" i="20" s="1"/>
  <c r="B39" i="20"/>
  <c r="B36" i="20"/>
  <c r="B38" i="20"/>
  <c r="B37" i="20"/>
  <c r="G11" i="5"/>
  <c r="J11" i="5" s="1"/>
  <c r="B40" i="20"/>
  <c r="D5" i="24"/>
  <c r="D12" i="6"/>
  <c r="D11" i="6"/>
  <c r="D10" i="2"/>
  <c r="J23" i="19"/>
  <c r="J22" i="19"/>
  <c r="E38" i="20" l="1"/>
  <c r="F38" i="20" s="1"/>
  <c r="H38" i="20" s="1"/>
  <c r="E39" i="20"/>
  <c r="F39" i="20" s="1"/>
  <c r="H39" i="20" s="1"/>
  <c r="E36" i="20"/>
  <c r="E40" i="20"/>
  <c r="F40" i="20" s="1"/>
  <c r="H40" i="20" s="1"/>
  <c r="E37" i="20"/>
  <c r="F37" i="20" s="1"/>
  <c r="H37" i="20" s="1"/>
  <c r="B42" i="20"/>
  <c r="F35" i="20"/>
  <c r="E42" i="20" l="1"/>
  <c r="F36" i="20"/>
  <c r="H36" i="20" s="1"/>
  <c r="H35" i="20"/>
  <c r="E7" i="5"/>
  <c r="E12" i="5"/>
  <c r="H42" i="20" l="1"/>
  <c r="F42" i="20"/>
  <c r="G5" i="24"/>
  <c r="C9" i="7" s="1"/>
  <c r="J24" i="19"/>
  <c r="J15" i="5"/>
  <c r="G12" i="5"/>
  <c r="F11" i="20" l="1"/>
  <c r="H11" i="20" s="1"/>
  <c r="G9" i="15"/>
  <c r="D13" i="6"/>
  <c r="J7" i="5"/>
  <c r="J12" i="5"/>
  <c r="J16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7" i="7" l="1"/>
  <c r="E28" i="1"/>
  <c r="E29" i="1" s="1"/>
  <c r="B27" i="7"/>
  <c r="D20" i="6"/>
  <c r="D21" i="6" s="1"/>
  <c r="D14" i="2" s="1"/>
  <c r="D16" i="2" s="1"/>
  <c r="G11" i="8" s="1"/>
  <c r="G7" i="5"/>
  <c r="G22" i="15" s="1"/>
  <c r="G23" i="15" s="1"/>
  <c r="G28" i="15" s="1"/>
  <c r="G30" i="15" s="1"/>
  <c r="H38" i="15" s="1"/>
  <c r="B28" i="7" l="1"/>
  <c r="I11" i="8"/>
  <c r="I13" i="8" s="1"/>
  <c r="G13" i="8"/>
  <c r="E20" i="1" s="1"/>
  <c r="E21" i="1" s="1"/>
  <c r="E30" i="1" s="1"/>
  <c r="E8" i="1"/>
  <c r="E9" i="1" l="1"/>
  <c r="E15" i="1" s="1"/>
</calcChain>
</file>

<file path=xl/sharedStrings.xml><?xml version="1.0" encoding="utf-8"?>
<sst xmlns="http://schemas.openxmlformats.org/spreadsheetml/2006/main" count="235" uniqueCount="180">
  <si>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</si>
  <si>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</si>
  <si>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</si>
  <si>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</si>
  <si>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</si>
  <si>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</si>
  <si>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</si>
  <si>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</si>
  <si>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</si>
  <si>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</si>
  <si>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</si>
  <si>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</si>
  <si>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</si>
  <si>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</si>
  <si>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</si>
  <si>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</si>
  <si>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</si>
  <si>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</si>
  <si>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</si>
  <si>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</si>
  <si>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</si>
  <si>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</si>
  <si>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</si>
  <si>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</si>
  <si>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</si>
  <si>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</si>
  <si>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</si>
  <si>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</si>
  <si>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</si>
  <si>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</si>
  <si>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</si>
  <si>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</si>
  <si>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</si>
  <si>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</si>
  <si>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</si>
  <si>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</si>
  <si>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</si>
  <si>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</si>
  <si>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</si>
  <si>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</si>
  <si>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</si>
  <si>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</si>
  <si>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</si>
  <si>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</si>
  <si>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</si>
  <si>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</si>
  <si>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</si>
  <si>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</si>
  <si>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</si>
  <si>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</si>
  <si>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</si>
  <si>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</si>
  <si>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</si>
  <si>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</si>
  <si>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</si>
  <si>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</si>
  <si>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</si>
  <si>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</si>
  <si>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</si>
  <si>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</si>
  <si>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</si>
  <si>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</si>
  <si>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</si>
  <si>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</si>
  <si>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</si>
  <si>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</si>
  <si>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</si>
  <si>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</si>
  <si>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</si>
  <si>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</si>
  <si>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</si>
  <si>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</si>
  <si>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</si>
  <si>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</si>
  <si>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</si>
  <si>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</si>
  <si>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</si>
  <si>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</si>
  <si>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</si>
  <si>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</si>
  <si>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</si>
  <si>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</si>
  <si>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</si>
  <si>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</si>
  <si>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</si>
  <si>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</si>
  <si>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</si>
  <si>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</si>
  <si>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</si>
  <si>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</si>
  <si>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</si>
  <si>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</si>
  <si>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</si>
  <si>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</si>
  <si>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</si>
  <si>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</si>
  <si>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</si>
  <si>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</si>
  <si>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</si>
  <si>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</si>
  <si>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</si>
  <si>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</si>
  <si>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</si>
  <si>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</si>
  <si>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</si>
  <si>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</si>
  <si>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</si>
  <si>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</si>
  <si>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</si>
  <si>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</si>
  <si>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</si>
  <si>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</si>
  <si>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</si>
  <si>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</si>
  <si>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</si>
  <si>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</si>
  <si>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</si>
  <si>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</si>
  <si>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</si>
  <si>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</si>
  <si>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</si>
  <si>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</si>
  <si>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</si>
  <si>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</si>
  <si>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</si>
  <si>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</si>
  <si>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</si>
  <si>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</si>
  <si>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</si>
  <si>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</si>
  <si>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</si>
  <si>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</si>
  <si>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</si>
  <si>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</si>
  <si>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</si>
  <si>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</si>
  <si>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</si>
  <si>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</si>
  <si>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</si>
  <si>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</si>
  <si>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</si>
  <si>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</si>
  <si>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</si>
  <si>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</si>
  <si>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</si>
  <si>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</si>
  <si>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</si>
  <si>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</si>
  <si>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</si>
  <si>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</si>
  <si>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</si>
  <si>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</si>
  <si>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</si>
  <si>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</si>
  <si>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</si>
  <si>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>Dirtectors remuniration</t>
  </si>
  <si>
    <t>FOR THE PERIOD ENDED 31ST MARCH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</si>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</sst>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4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  <xf numFmtId="43" fontId="10" fillId="3" borderId="0" xfId="1" applyFont="1" applyFill="1"/>
    <xf numFmtId="0" fontId="8" fillId="0" borderId="0" xfId="0" applyFont="1" applyFill="1" applyAlignment="1">
      <alignment horizontal="center"/>
    </xf>
    <xf numFmtId="0" fontId="27" fillId="0" borderId="0" xfId="0" applyFont="1" applyAlignment="1">
      <alignment horizontal="left" vertical="top"/>
    </xf>
    <xf numFmtId="0" fontId="0" fillId="0" borderId="6" xfId="0" applyBorder="1"/>
    <xf numFmtId="43" fontId="0" fillId="0" borderId="6" xfId="1" applyFont="1" applyFill="1" applyBorder="1"/>
    <xf numFmtId="0" fontId="22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3" bestFit="1" customWidth="1"/>
    <col min="2" max="2" width="11.77734375" style="223" customWidth="1"/>
    <col min="3" max="3" width="11.6640625" style="223" bestFit="1" customWidth="1"/>
    <col min="4" max="4" width="12.5546875" style="223" bestFit="1" customWidth="1"/>
    <col min="5" max="5" width="14.6640625" style="223" customWidth="1"/>
    <col min="6" max="6" width="12" style="223" customWidth="1"/>
    <col min="7" max="7" width="12.5546875" style="223" customWidth="1"/>
    <col min="8" max="8" width="8.88671875" style="223"/>
    <col min="9" max="9" width="10.6640625" style="223" bestFit="1" customWidth="1"/>
    <col min="10" max="16384" width="8.88671875" style="223"/>
  </cols>
  <sheetData>
    <row r="1" spans="1:9" x14ac:dyDescent="0.3">
      <c r="A1" s="222" t="s">
        <v>112</v>
      </c>
      <c r="C1" s="222"/>
    </row>
    <row r="3" spans="1:9" ht="27.6" x14ac:dyDescent="0.3">
      <c r="A3" s="224" t="s">
        <v>113</v>
      </c>
      <c r="B3" s="225" t="s">
        <v>114</v>
      </c>
      <c r="C3" s="224" t="s">
        <v>117</v>
      </c>
      <c r="D3" s="226" t="s">
        <v>107</v>
      </c>
      <c r="E3" s="225" t="s">
        <v>115</v>
      </c>
      <c r="F3" s="225" t="s">
        <v>154</v>
      </c>
      <c r="G3" s="225" t="s">
        <v>116</v>
      </c>
    </row>
    <row r="4" spans="1:9" ht="14.4" x14ac:dyDescent="0.3">
      <c r="A4" s="227" t="s">
        <v>108</v>
      </c>
      <c r="B4" s="228">
        <v>45385</v>
      </c>
      <c r="C4" s="229">
        <v>5</v>
      </c>
      <c r="D4" s="230">
        <v>153700</v>
      </c>
      <c r="E4" s="228">
        <v>45728</v>
      </c>
      <c r="F4" s="230">
        <f t="shared" ref="F4" si="0">E4-B4</f>
        <v>343</v>
      </c>
      <c r="G4" s="231">
        <f>(D4/C4)*(F4/365)</f>
        <v>28887.178082191782</v>
      </c>
      <c r="I4" s="232"/>
    </row>
    <row r="5" spans="1:9" x14ac:dyDescent="0.3">
      <c r="A5" s="226" t="s">
        <v>27</v>
      </c>
      <c r="B5" s="233"/>
      <c r="C5" s="233"/>
      <c r="D5" s="234">
        <f>SUM(D4:D4)</f>
        <v>153700</v>
      </c>
      <c r="E5" s="233"/>
      <c r="F5" s="233"/>
      <c r="G5" s="234">
        <f>SUM(G4:G4)</f>
        <v>28887.178082191782</v>
      </c>
    </row>
    <row r="7" spans="1:9" x14ac:dyDescent="0.3">
      <c r="D7" s="2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B6" sqref="B6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08" t="s">
        <v>146</v>
      </c>
    </row>
    <row r="2" spans="1:4" x14ac:dyDescent="0.3">
      <c r="A2" t="s">
        <v>105</v>
      </c>
      <c r="B2" s="157">
        <v>2328236</v>
      </c>
    </row>
    <row r="3" spans="1:4" x14ac:dyDescent="0.3">
      <c r="B3" s="157"/>
    </row>
    <row r="4" spans="1:4" x14ac:dyDescent="0.3">
      <c r="A4" s="208" t="s">
        <v>173</v>
      </c>
      <c r="B4" s="157"/>
    </row>
    <row r="5" spans="1:4" x14ac:dyDescent="0.3">
      <c r="A5" t="s">
        <v>144</v>
      </c>
      <c r="B5" s="220">
        <v>99975</v>
      </c>
    </row>
    <row r="6" spans="1:4" x14ac:dyDescent="0.3">
      <c r="A6" s="241" t="s">
        <v>145</v>
      </c>
      <c r="B6" s="242">
        <v>163480</v>
      </c>
    </row>
    <row r="7" spans="1:4" x14ac:dyDescent="0.3">
      <c r="B7" s="157"/>
    </row>
    <row r="8" spans="1:4" x14ac:dyDescent="0.3">
      <c r="A8" s="208" t="s">
        <v>19</v>
      </c>
      <c r="C8" t="s">
        <v>147</v>
      </c>
    </row>
    <row r="9" spans="1:4" x14ac:dyDescent="0.3">
      <c r="B9" s="157"/>
    </row>
    <row r="10" spans="1:4" x14ac:dyDescent="0.3">
      <c r="B10" s="157"/>
    </row>
    <row r="11" spans="1:4" x14ac:dyDescent="0.3">
      <c r="A11" s="208" t="s">
        <v>174</v>
      </c>
      <c r="B11" s="157"/>
    </row>
    <row r="12" spans="1:4" x14ac:dyDescent="0.3">
      <c r="A12" t="s">
        <v>148</v>
      </c>
      <c r="B12" t="s">
        <v>149</v>
      </c>
      <c r="C12" t="s">
        <v>150</v>
      </c>
      <c r="D12" t="s">
        <v>151</v>
      </c>
    </row>
    <row r="13" spans="1:4" x14ac:dyDescent="0.3">
      <c r="A13" s="158">
        <v>45597</v>
      </c>
      <c r="B13" s="157">
        <v>4200</v>
      </c>
      <c r="C13" s="157">
        <f>B13*12/20</f>
        <v>2520</v>
      </c>
      <c r="D13" s="157">
        <f>C13*3/12</f>
        <v>630</v>
      </c>
    </row>
    <row r="14" spans="1:4" ht="15" thickBot="1" x14ac:dyDescent="0.35">
      <c r="A14" t="s">
        <v>27</v>
      </c>
      <c r="B14" s="159">
        <f>SUM(B13:B13)</f>
        <v>4200</v>
      </c>
      <c r="C14" s="160">
        <f>SUM(C13:C13)</f>
        <v>2520</v>
      </c>
      <c r="D14" s="160">
        <f>SUM(D13:D13)</f>
        <v>630</v>
      </c>
    </row>
    <row r="15" spans="1:4" ht="15" thickTop="1" x14ac:dyDescent="0.3">
      <c r="B15" s="157"/>
      <c r="C15" s="157"/>
      <c r="D15" s="15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8"/>
  <sheetViews>
    <sheetView workbookViewId="0">
      <selection activeCell="B8" sqref="B8"/>
    </sheetView>
  </sheetViews>
  <sheetFormatPr defaultColWidth="9.109375" defaultRowHeight="13.8" x14ac:dyDescent="0.25"/>
  <cols>
    <col min="1" max="1" width="25" style="155" bestFit="1" customWidth="1"/>
    <col min="2" max="2" width="11.109375" style="88" bestFit="1" customWidth="1"/>
    <col min="3" max="3" width="10" style="156" bestFit="1" customWidth="1"/>
    <col min="4" max="4" width="11.5546875" style="153" bestFit="1" customWidth="1"/>
    <col min="5" max="9" width="9.109375" style="153"/>
    <col min="10" max="10" width="11.5546875" style="153" bestFit="1" customWidth="1"/>
    <col min="11" max="16384" width="9.109375" style="153"/>
  </cols>
  <sheetData>
    <row r="1" spans="1:10" ht="14.4" x14ac:dyDescent="0.25">
      <c r="A1" s="243" t="s">
        <v>179</v>
      </c>
      <c r="B1" s="243"/>
      <c r="C1" s="243"/>
    </row>
    <row r="2" spans="1:10" ht="14.4" x14ac:dyDescent="0.25">
      <c r="A2" s="243" t="s">
        <v>16</v>
      </c>
      <c r="B2" s="243"/>
      <c r="C2" s="243"/>
    </row>
    <row r="3" spans="1:10" ht="14.4" x14ac:dyDescent="0.25">
      <c r="A3" s="243" t="s">
        <v>106</v>
      </c>
      <c r="B3" s="243"/>
      <c r="C3" s="243"/>
    </row>
    <row r="4" spans="1:10" ht="14.4" x14ac:dyDescent="0.25">
      <c r="A4" s="217" t="s">
        <v>178</v>
      </c>
      <c r="B4" s="209" t="s">
        <v>17</v>
      </c>
      <c r="C4" s="210" t="s">
        <v>18</v>
      </c>
    </row>
    <row r="5" spans="1:10" ht="14.4" x14ac:dyDescent="0.25">
      <c r="A5" s="211" t="s">
        <v>20</v>
      </c>
      <c r="B5" s="212"/>
      <c r="C5" s="212"/>
    </row>
    <row r="6" spans="1:10" ht="14.4" x14ac:dyDescent="0.25">
      <c r="A6" s="213" t="s">
        <v>118</v>
      </c>
      <c r="B6" s="219">
        <v>12560</v>
      </c>
      <c r="C6" s="212"/>
    </row>
    <row r="7" spans="1:10" ht="14.4" x14ac:dyDescent="0.25">
      <c r="A7" s="211" t="s">
        <v>19</v>
      </c>
      <c r="B7" s="212"/>
      <c r="C7" s="212"/>
      <c r="J7" s="154"/>
    </row>
    <row r="8" spans="1:10" ht="14.4" x14ac:dyDescent="0.25">
      <c r="A8" s="213" t="s">
        <v>108</v>
      </c>
      <c r="B8" s="212">
        <f>+PPE!D4</f>
        <v>153700</v>
      </c>
      <c r="C8" s="212"/>
      <c r="J8" s="154"/>
    </row>
    <row r="9" spans="1:10" ht="14.4" x14ac:dyDescent="0.25">
      <c r="A9" s="213" t="s">
        <v>120</v>
      </c>
      <c r="B9" s="212"/>
      <c r="C9" s="212">
        <f>+PPE!G5</f>
        <v>28887.178082191782</v>
      </c>
    </row>
    <row r="10" spans="1:10" ht="14.4" x14ac:dyDescent="0.25">
      <c r="A10" s="211" t="s">
        <v>175</v>
      </c>
      <c r="B10" s="212"/>
      <c r="C10" s="212"/>
    </row>
    <row r="11" spans="1:10" ht="14.4" x14ac:dyDescent="0.25">
      <c r="A11" s="213" t="s">
        <v>119</v>
      </c>
      <c r="B11" s="212"/>
      <c r="C11" s="212">
        <f>+B24</f>
        <v>15000</v>
      </c>
    </row>
    <row r="12" spans="1:10" ht="14.4" x14ac:dyDescent="0.25">
      <c r="A12" s="213" t="s">
        <v>99</v>
      </c>
      <c r="B12" s="212"/>
      <c r="C12" s="212">
        <f>+B26</f>
        <v>25000</v>
      </c>
    </row>
    <row r="13" spans="1:10" ht="14.4" x14ac:dyDescent="0.3">
      <c r="A13" s="208" t="s">
        <v>176</v>
      </c>
      <c r="B13" s="214"/>
      <c r="C13" s="215"/>
    </row>
    <row r="14" spans="1:10" ht="14.4" x14ac:dyDescent="0.25">
      <c r="A14" s="213" t="s">
        <v>21</v>
      </c>
      <c r="B14" s="212"/>
      <c r="C14" s="212">
        <f>1000*6</f>
        <v>6000</v>
      </c>
    </row>
    <row r="15" spans="1:10" ht="14.4" x14ac:dyDescent="0.25">
      <c r="A15" s="213" t="s">
        <v>157</v>
      </c>
      <c r="B15" s="212"/>
      <c r="C15" s="212">
        <v>1000000</v>
      </c>
    </row>
    <row r="16" spans="1:10" s="202" customFormat="1" ht="14.4" x14ac:dyDescent="0.25">
      <c r="A16" s="211" t="s">
        <v>146</v>
      </c>
      <c r="B16" s="212"/>
      <c r="C16" s="215"/>
    </row>
    <row r="17" spans="1:3" ht="14.4" x14ac:dyDescent="0.3">
      <c r="A17" s="216" t="s">
        <v>158</v>
      </c>
      <c r="B17" s="220">
        <v>112919.5</v>
      </c>
      <c r="C17" s="212"/>
    </row>
    <row r="18" spans="1:3" s="202" customFormat="1" ht="14.4" x14ac:dyDescent="0.3">
      <c r="A18" s="213" t="s">
        <v>105</v>
      </c>
      <c r="B18" s="212"/>
      <c r="C18" s="221">
        <f>+Working!B2</f>
        <v>2328236</v>
      </c>
    </row>
    <row r="19" spans="1:3" ht="14.4" x14ac:dyDescent="0.3">
      <c r="A19" s="208" t="s">
        <v>177</v>
      </c>
      <c r="B19" s="212"/>
      <c r="C19" s="212"/>
    </row>
    <row r="20" spans="1:3" s="202" customFormat="1" ht="14.4" x14ac:dyDescent="0.25">
      <c r="A20" s="240" t="s">
        <v>152</v>
      </c>
      <c r="B20" s="212">
        <v>12600</v>
      </c>
      <c r="C20" s="212"/>
    </row>
    <row r="21" spans="1:3" s="202" customFormat="1" ht="14.4" x14ac:dyDescent="0.25">
      <c r="A21" s="240" t="s">
        <v>153</v>
      </c>
      <c r="B21" s="212">
        <v>3150</v>
      </c>
      <c r="C21" s="212"/>
    </row>
    <row r="22" spans="1:3" ht="14.4" x14ac:dyDescent="0.25">
      <c r="A22" s="213" t="s">
        <v>155</v>
      </c>
      <c r="B22" s="212">
        <v>1220000</v>
      </c>
      <c r="C22" s="212"/>
    </row>
    <row r="23" spans="1:3" ht="14.4" x14ac:dyDescent="0.25">
      <c r="A23" s="213" t="s">
        <v>136</v>
      </c>
      <c r="B23" s="212">
        <v>1000</v>
      </c>
      <c r="C23" s="212"/>
    </row>
    <row r="24" spans="1:3" ht="14.4" x14ac:dyDescent="0.25">
      <c r="A24" s="213" t="s">
        <v>119</v>
      </c>
      <c r="B24" s="212">
        <v>15000</v>
      </c>
      <c r="C24" s="212"/>
    </row>
    <row r="25" spans="1:3" s="202" customFormat="1" ht="14.4" x14ac:dyDescent="0.25">
      <c r="A25" s="240" t="s">
        <v>145</v>
      </c>
      <c r="B25" s="212">
        <f>+Working!B6</f>
        <v>163480</v>
      </c>
      <c r="C25" s="212"/>
    </row>
    <row r="26" spans="1:3" ht="14.4" x14ac:dyDescent="0.25">
      <c r="A26" s="213" t="s">
        <v>99</v>
      </c>
      <c r="B26" s="212">
        <v>25000</v>
      </c>
      <c r="C26" s="212"/>
    </row>
    <row r="27" spans="1:3" ht="15" thickBot="1" x14ac:dyDescent="0.3">
      <c r="A27" s="217" t="s">
        <v>27</v>
      </c>
      <c r="B27" s="218">
        <f>SUM(B5:B26)</f>
        <v>1719409.5</v>
      </c>
      <c r="C27" s="218">
        <f>SUM(C5:C26)</f>
        <v>3403123.1780821919</v>
      </c>
    </row>
    <row r="28" spans="1:3" ht="14.4" thickTop="1" x14ac:dyDescent="0.25">
      <c r="B28" s="88">
        <f>B27-C27</f>
        <v>-1683713.6780821919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5" workbookViewId="0">
      <selection activeCell="G30" sqref="G30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103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121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104</v>
      </c>
      <c r="C19" s="58"/>
      <c r="D19" s="58"/>
      <c r="H19" s="38"/>
      <c r="I19" s="17"/>
      <c r="J19" s="59"/>
    </row>
    <row r="20" spans="1:10" x14ac:dyDescent="0.35">
      <c r="A20" s="3"/>
      <c r="B20" s="114" t="s">
        <v>152</v>
      </c>
      <c r="C20" s="58"/>
      <c r="D20" s="58"/>
      <c r="H20" s="38"/>
      <c r="I20" s="17"/>
      <c r="J20" s="135">
        <f>TB!B20</f>
        <v>12600</v>
      </c>
    </row>
    <row r="21" spans="1:10" x14ac:dyDescent="0.35">
      <c r="A21" s="3"/>
      <c r="B21" s="114" t="s">
        <v>153</v>
      </c>
      <c r="C21" s="58"/>
      <c r="D21" s="58"/>
      <c r="H21" s="38"/>
      <c r="I21" s="17"/>
      <c r="J21" s="135">
        <f>TB!B21</f>
        <v>3150</v>
      </c>
    </row>
    <row r="22" spans="1:10" x14ac:dyDescent="0.35">
      <c r="A22" s="3"/>
      <c r="B22" s="114" t="s">
        <v>133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99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>
        <f>SUM(J20:J23)</f>
        <v>55750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zoomScaleNormal="100" zoomScaleSheetLayoutView="102" workbookViewId="0">
      <selection activeCell="L11" sqref="L11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52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122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123</v>
      </c>
      <c r="E7" s="237">
        <v>0</v>
      </c>
      <c r="F7" s="84"/>
      <c r="G7" s="237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36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159</v>
      </c>
      <c r="E11" s="235">
        <v>0</v>
      </c>
      <c r="F11" s="62"/>
      <c r="G11" s="62">
        <f>+PL!D16</f>
        <v>2123756</v>
      </c>
      <c r="H11" s="62"/>
      <c r="I11" s="62">
        <f>G11</f>
        <v>2123756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124</v>
      </c>
      <c r="E13" s="169">
        <f>SUM(E7:E11)</f>
        <v>6000</v>
      </c>
      <c r="F13" s="185"/>
      <c r="G13" s="169">
        <f>SUM(G7:G11)</f>
        <v>2123756</v>
      </c>
      <c r="H13" s="185"/>
      <c r="I13" s="169">
        <f>SUM(I7:I11)</f>
        <v>2129756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5" zoomScaleNormal="100" zoomScaleSheetLayoutView="95" workbookViewId="0">
      <selection activeCell="K30" sqref="K30"/>
    </sheetView>
  </sheetViews>
  <sheetFormatPr defaultColWidth="8.88671875" defaultRowHeight="14.4" x14ac:dyDescent="0.35"/>
  <cols>
    <col min="1" max="1" width="2.88671875" style="166" customWidth="1"/>
    <col min="2" max="2" width="30.44140625" style="166" customWidth="1"/>
    <col min="3" max="3" width="16.77734375" style="166" customWidth="1"/>
    <col min="4" max="4" width="14.6640625" style="166" customWidth="1"/>
    <col min="5" max="5" width="9" style="166" customWidth="1"/>
    <col min="6" max="6" width="0.6640625" style="166" customWidth="1"/>
    <col min="7" max="7" width="13.109375" style="166" customWidth="1"/>
    <col min="8" max="8" width="12.33203125" style="166" bestFit="1" customWidth="1"/>
    <col min="9" max="9" width="14.109375" style="166" bestFit="1" customWidth="1"/>
    <col min="10" max="16384" width="8.88671875" style="166"/>
  </cols>
  <sheetData>
    <row r="1" spans="1:8" x14ac:dyDescent="0.35">
      <c r="A1" s="168" t="s">
        <v>142</v>
      </c>
      <c r="E1" s="168"/>
      <c r="F1" s="168"/>
      <c r="G1" s="204" t="s">
        <v>64</v>
      </c>
      <c r="H1" s="168"/>
    </row>
    <row r="2" spans="1:8" s="163" customFormat="1" x14ac:dyDescent="0.35">
      <c r="A2" s="168" t="s">
        <v>52</v>
      </c>
      <c r="E2" s="168"/>
      <c r="F2" s="168"/>
      <c r="G2" s="178"/>
      <c r="H2" s="168"/>
    </row>
    <row r="3" spans="1:8" x14ac:dyDescent="0.35">
      <c r="A3" s="163" t="str">
        <f>+PL!A3</f>
        <v>FOR THE YEAR PERIOD 31ST MARCH</v>
      </c>
      <c r="B3" s="168"/>
      <c r="C3" s="168"/>
      <c r="D3" s="168"/>
      <c r="E3" s="168"/>
      <c r="F3" s="168"/>
      <c r="G3" s="173">
        <v>2025</v>
      </c>
      <c r="H3" s="168"/>
    </row>
    <row r="4" spans="1:8" x14ac:dyDescent="0.35">
      <c r="G4" s="181" t="s">
        <v>11</v>
      </c>
    </row>
    <row r="5" spans="1:8" x14ac:dyDescent="0.35">
      <c r="F5" s="172"/>
    </row>
    <row r="6" spans="1:8" x14ac:dyDescent="0.35">
      <c r="A6" s="163" t="s">
        <v>53</v>
      </c>
      <c r="F6" s="172"/>
      <c r="G6" s="175"/>
    </row>
    <row r="7" spans="1:8" x14ac:dyDescent="0.35">
      <c r="A7" s="167" t="s">
        <v>54</v>
      </c>
      <c r="F7" s="188"/>
      <c r="G7" s="192">
        <f>+PL!D12</f>
        <v>2124756</v>
      </c>
    </row>
    <row r="8" spans="1:8" x14ac:dyDescent="0.35">
      <c r="A8" s="166" t="s">
        <v>25</v>
      </c>
      <c r="F8" s="174"/>
      <c r="G8" s="193"/>
    </row>
    <row r="9" spans="1:8" x14ac:dyDescent="0.35">
      <c r="B9" s="170" t="s">
        <v>127</v>
      </c>
      <c r="C9" s="170"/>
      <c r="D9" s="170"/>
      <c r="F9" s="174"/>
      <c r="G9" s="193" t="e">
        <f>'P09'!#REF!</f>
        <v>#REF!</v>
      </c>
    </row>
    <row r="10" spans="1:8" x14ac:dyDescent="0.35">
      <c r="A10" s="163" t="s">
        <v>55</v>
      </c>
      <c r="F10" s="174"/>
      <c r="G10" s="194" t="e">
        <f>SUM(G7:G9)</f>
        <v>#REF!</v>
      </c>
    </row>
    <row r="11" spans="1:8" x14ac:dyDescent="0.35">
      <c r="F11" s="174"/>
      <c r="G11" s="193"/>
    </row>
    <row r="12" spans="1:8" x14ac:dyDescent="0.35">
      <c r="B12" s="170" t="s">
        <v>160</v>
      </c>
      <c r="C12" s="170"/>
      <c r="D12" s="170"/>
      <c r="F12" s="174"/>
      <c r="G12" s="193">
        <f>-BS!E12</f>
        <v>-112919.5</v>
      </c>
    </row>
    <row r="13" spans="1:8" x14ac:dyDescent="0.35">
      <c r="B13" s="170" t="s">
        <v>170</v>
      </c>
      <c r="C13" s="170"/>
      <c r="D13" s="170"/>
      <c r="F13" s="174"/>
      <c r="G13" s="193">
        <f>BS!E26</f>
        <v>55750</v>
      </c>
    </row>
    <row r="14" spans="1:8" x14ac:dyDescent="0.35">
      <c r="B14" s="170" t="s">
        <v>101</v>
      </c>
      <c r="C14" s="170"/>
      <c r="D14" s="170"/>
      <c r="F14" s="174"/>
      <c r="G14" s="193">
        <f>BS!E27</f>
        <v>1000000</v>
      </c>
    </row>
    <row r="15" spans="1:8" x14ac:dyDescent="0.35">
      <c r="A15" s="163" t="s">
        <v>56</v>
      </c>
      <c r="F15" s="174"/>
      <c r="G15" s="194" t="e">
        <f>SUM(G10:G14)</f>
        <v>#REF!</v>
      </c>
    </row>
    <row r="16" spans="1:8" x14ac:dyDescent="0.35">
      <c r="F16" s="174"/>
      <c r="G16" s="193"/>
    </row>
    <row r="17" spans="1:7" x14ac:dyDescent="0.35">
      <c r="B17" s="166" t="s">
        <v>24</v>
      </c>
      <c r="F17" s="174"/>
      <c r="G17" s="193">
        <f>TB!B23</f>
        <v>1000</v>
      </c>
    </row>
    <row r="18" spans="1:7" x14ac:dyDescent="0.35">
      <c r="F18" s="174"/>
      <c r="G18" s="195">
        <f>SUM(G17:G17)</f>
        <v>1000</v>
      </c>
    </row>
    <row r="19" spans="1:7" x14ac:dyDescent="0.35">
      <c r="A19" s="163" t="s">
        <v>57</v>
      </c>
      <c r="E19" s="163"/>
      <c r="F19" s="174"/>
      <c r="G19" s="195" t="e">
        <f>SUM(G18+G15)</f>
        <v>#REF!</v>
      </c>
    </row>
    <row r="20" spans="1:7" x14ac:dyDescent="0.35">
      <c r="F20" s="174"/>
      <c r="G20" s="193"/>
    </row>
    <row r="21" spans="1:7" x14ac:dyDescent="0.35">
      <c r="A21" s="163" t="s">
        <v>58</v>
      </c>
      <c r="F21" s="174"/>
      <c r="G21" s="193"/>
    </row>
    <row r="22" spans="1:7" x14ac:dyDescent="0.35">
      <c r="B22" s="167" t="s">
        <v>137</v>
      </c>
      <c r="F22" s="174"/>
      <c r="G22" s="193">
        <f>-'P10'!G7</f>
        <v>-153700</v>
      </c>
    </row>
    <row r="23" spans="1:7" x14ac:dyDescent="0.35">
      <c r="A23" s="163" t="s">
        <v>59</v>
      </c>
      <c r="E23" s="163"/>
      <c r="F23" s="174"/>
      <c r="G23" s="195">
        <f>SUM(G22)</f>
        <v>-153700</v>
      </c>
    </row>
    <row r="24" spans="1:7" x14ac:dyDescent="0.35">
      <c r="F24" s="174"/>
      <c r="G24" s="193"/>
    </row>
    <row r="25" spans="1:7" x14ac:dyDescent="0.35">
      <c r="A25" s="163" t="s">
        <v>60</v>
      </c>
      <c r="F25" s="174"/>
      <c r="G25" s="193"/>
    </row>
    <row r="26" spans="1:7" x14ac:dyDescent="0.35">
      <c r="B26" s="166" t="s">
        <v>70</v>
      </c>
      <c r="F26" s="174"/>
      <c r="G26" s="193">
        <f>+BS!E19</f>
        <v>6000</v>
      </c>
    </row>
    <row r="27" spans="1:7" x14ac:dyDescent="0.35">
      <c r="A27" s="163" t="s">
        <v>61</v>
      </c>
      <c r="F27" s="174"/>
      <c r="G27" s="195">
        <f>SUM(G26)</f>
        <v>6000</v>
      </c>
    </row>
    <row r="28" spans="1:7" x14ac:dyDescent="0.35">
      <c r="A28" s="163" t="s">
        <v>65</v>
      </c>
      <c r="F28" s="174"/>
      <c r="G28" s="193" t="e">
        <f>+G19+G23+G27</f>
        <v>#REF!</v>
      </c>
    </row>
    <row r="29" spans="1:7" x14ac:dyDescent="0.35">
      <c r="B29" s="166" t="s">
        <v>62</v>
      </c>
      <c r="F29" s="174"/>
      <c r="G29" s="235">
        <v>0</v>
      </c>
    </row>
    <row r="30" spans="1:7" ht="15" thickBot="1" x14ac:dyDescent="0.4">
      <c r="B30" s="166" t="s">
        <v>63</v>
      </c>
      <c r="F30" s="174"/>
      <c r="G30" s="196" t="e">
        <f>SUM(G28:G29)</f>
        <v>#REF!</v>
      </c>
    </row>
    <row r="31" spans="1:7" ht="15" thickTop="1" x14ac:dyDescent="0.35">
      <c r="F31" s="174"/>
      <c r="G31" s="193"/>
    </row>
    <row r="32" spans="1:7" s="167" customFormat="1" x14ac:dyDescent="0.35">
      <c r="A32" s="164" t="s">
        <v>139</v>
      </c>
      <c r="C32" s="161"/>
      <c r="F32" s="184"/>
    </row>
    <row r="33" spans="1:9" s="167" customFormat="1" x14ac:dyDescent="0.35">
      <c r="B33" s="177" t="s">
        <v>138</v>
      </c>
      <c r="G33" s="238">
        <v>0</v>
      </c>
    </row>
    <row r="34" spans="1:9" s="167" customFormat="1" ht="15" thickBot="1" x14ac:dyDescent="0.4">
      <c r="G34" s="205">
        <f>SUM(F33:F33)</f>
        <v>0</v>
      </c>
    </row>
    <row r="35" spans="1:9" s="167" customFormat="1" ht="15" thickTop="1" x14ac:dyDescent="0.35"/>
    <row r="36" spans="1:9" s="167" customFormat="1" x14ac:dyDescent="0.35">
      <c r="A36" s="164" t="s">
        <v>140</v>
      </c>
      <c r="G36" s="184"/>
    </row>
    <row r="37" spans="1:9" s="167" customFormat="1" x14ac:dyDescent="0.35">
      <c r="B37" s="177" t="s">
        <v>138</v>
      </c>
      <c r="D37" s="176"/>
      <c r="E37" s="176"/>
      <c r="G37" s="183">
        <f>'P11'!J7</f>
        <v>12560</v>
      </c>
    </row>
    <row r="38" spans="1:9" s="167" customFormat="1" ht="15" thickBot="1" x14ac:dyDescent="0.4">
      <c r="A38" s="164"/>
      <c r="G38" s="205">
        <f>SUM(G37:G37)</f>
        <v>12560</v>
      </c>
      <c r="H38" s="179" t="e">
        <f>G30-G38</f>
        <v>#REF!</v>
      </c>
      <c r="I38" s="179"/>
    </row>
    <row r="39" spans="1:9" ht="15" thickTop="1" x14ac:dyDescent="0.35"/>
    <row r="41" spans="1:9" x14ac:dyDescent="0.35">
      <c r="A41" s="166" t="s">
        <v>32</v>
      </c>
    </row>
    <row r="43" spans="1:9" x14ac:dyDescent="0.35">
      <c r="A43" s="167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D6" sqref="D6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142</v>
      </c>
      <c r="B1" s="1"/>
      <c r="C1" s="1"/>
      <c r="D1" s="152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100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>
        <f>-'P09'!D13</f>
        <v>-40000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>
        <f>-'P09'!D17</f>
        <v>-163480</v>
      </c>
    </row>
    <row r="11" spans="1:7" x14ac:dyDescent="0.35">
      <c r="D11" s="118"/>
    </row>
    <row r="12" spans="1:7" x14ac:dyDescent="0.35">
      <c r="A12" s="12" t="s">
        <v>31</v>
      </c>
      <c r="B12" s="1"/>
      <c r="D12" s="119">
        <f>SUM(D6:D10)</f>
        <v>2124756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-'P09'!D21</f>
        <v>-1000</v>
      </c>
    </row>
    <row r="15" spans="1:7" x14ac:dyDescent="0.35">
      <c r="D15" s="119"/>
    </row>
    <row r="16" spans="1:7" ht="15" thickBot="1" x14ac:dyDescent="0.4">
      <c r="A16" s="12" t="s">
        <v>171</v>
      </c>
      <c r="D16" s="124">
        <f>SUM(D12:D14)</f>
        <v>2123756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tabSelected="1" topLeftCell="B11" zoomScaleNormal="100" zoomScaleSheetLayoutView="100" workbookViewId="0">
      <selection activeCell="H27" sqref="H27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142</v>
      </c>
      <c r="B1" s="1"/>
      <c r="C1" s="1"/>
      <c r="D1" s="1"/>
      <c r="E1" s="152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126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4"/>
    </row>
    <row r="7" spans="1:1003" x14ac:dyDescent="0.35">
      <c r="A7" s="1" t="s">
        <v>23</v>
      </c>
      <c r="B7" s="1"/>
      <c r="E7" s="73"/>
      <c r="F7" s="143"/>
    </row>
    <row r="8" spans="1:1003" x14ac:dyDescent="0.35">
      <c r="A8" s="18" t="s">
        <v>137</v>
      </c>
      <c r="C8" s="3">
        <v>8</v>
      </c>
      <c r="D8" s="3"/>
      <c r="E8" s="121">
        <f>+'P10'!J16</f>
        <v>124812.82191780822</v>
      </c>
      <c r="F8" s="143"/>
    </row>
    <row r="9" spans="1:1003" x14ac:dyDescent="0.35">
      <c r="E9" s="126">
        <f>SUM(E8)</f>
        <v>124812.82191780822</v>
      </c>
      <c r="F9" s="143"/>
    </row>
    <row r="10" spans="1:1003" x14ac:dyDescent="0.35">
      <c r="E10" s="121"/>
      <c r="F10" s="143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78" t="s">
        <v>158</v>
      </c>
      <c r="B12" s="178"/>
      <c r="C12" s="239"/>
      <c r="D12" s="239"/>
      <c r="E12" s="73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>
        <f>SUM(E14+E9)</f>
        <v>250292.32191780821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4"/>
      <c r="E17" s="73"/>
      <c r="F17" s="143"/>
      <c r="I17" s="145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>
        <f>+CE!G13</f>
        <v>2123756</v>
      </c>
      <c r="F20" s="14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>
        <f>SUM(E19:E20)</f>
        <v>2129756</v>
      </c>
      <c r="F21" s="143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6" t="s">
        <v>104</v>
      </c>
      <c r="C26" s="3">
        <v>11</v>
      </c>
      <c r="D26" s="3"/>
      <c r="E26" s="73">
        <f>+'P11'!J24</f>
        <v>55750</v>
      </c>
      <c r="F26" s="14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6" t="s">
        <v>38</v>
      </c>
      <c r="B27" s="147"/>
      <c r="E27" s="73">
        <f>TB!C15</f>
        <v>1000000</v>
      </c>
      <c r="F27" s="14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8" t="s">
        <v>41</v>
      </c>
      <c r="E28" s="126">
        <f>SUM(E26:E27)</f>
        <v>1055750</v>
      </c>
      <c r="F28" s="14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8" t="s">
        <v>42</v>
      </c>
      <c r="E29" s="128">
        <f>E28+E23</f>
        <v>1055750</v>
      </c>
      <c r="F29" s="14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>
        <f>+E21+E29</f>
        <v>3185506</v>
      </c>
      <c r="F30" s="143"/>
      <c r="G30" s="77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/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49" t="s">
        <v>43</v>
      </c>
      <c r="B36" s="149"/>
      <c r="C36" s="149"/>
      <c r="D36" s="149"/>
      <c r="E36" s="24"/>
      <c r="F36" s="149"/>
      <c r="G36" s="149"/>
      <c r="H36" s="14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49"/>
      <c r="B37" s="149"/>
      <c r="C37" s="149"/>
      <c r="D37" s="149"/>
      <c r="E37" s="24"/>
      <c r="F37" s="149"/>
      <c r="G37" s="149"/>
      <c r="H37" s="149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0"/>
      <c r="B38" s="150"/>
      <c r="C38" s="150"/>
      <c r="D38" s="150"/>
      <c r="E38" s="25"/>
      <c r="F38" s="150"/>
      <c r="G38" s="150"/>
      <c r="H38" s="150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49" t="s">
        <v>46</v>
      </c>
      <c r="B42" s="151"/>
      <c r="C42" s="151"/>
      <c r="D42" s="151"/>
      <c r="E42" s="26"/>
      <c r="F42" s="151"/>
      <c r="G42" s="151"/>
      <c r="H42" s="151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49" t="s">
        <v>47</v>
      </c>
      <c r="B43" s="151"/>
      <c r="C43" s="151"/>
      <c r="D43" s="151"/>
      <c r="E43" s="26"/>
      <c r="F43" s="151"/>
      <c r="G43" s="151"/>
      <c r="H43" s="151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49"/>
      <c r="B44" s="151"/>
      <c r="C44" s="151"/>
      <c r="D44" s="151"/>
      <c r="E44" s="26"/>
      <c r="F44" s="151"/>
      <c r="G44" s="151"/>
      <c r="H44" s="151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49"/>
      <c r="B45" s="151"/>
      <c r="C45" s="151"/>
      <c r="D45" s="151"/>
      <c r="E45" s="26"/>
      <c r="F45" s="151"/>
      <c r="G45" s="151"/>
      <c r="H45" s="15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169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172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22"/>
  <sheetViews>
    <sheetView zoomScaleNormal="100" zoomScaleSheetLayoutView="100" workbookViewId="0">
      <selection activeCell="C15" sqref="C15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142</v>
      </c>
      <c r="B1" s="34"/>
      <c r="C1" s="34"/>
      <c r="D1" s="152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156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141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133</v>
      </c>
      <c r="C11" s="76"/>
      <c r="D11" s="120">
        <f>+TB!B24</f>
        <v>15000</v>
      </c>
      <c r="E11" s="1"/>
      <c r="F11" s="38"/>
      <c r="G11" s="70"/>
    </row>
    <row r="12" spans="1:9" x14ac:dyDescent="0.35">
      <c r="A12" s="3"/>
      <c r="B12" s="2" t="s">
        <v>99</v>
      </c>
      <c r="C12" s="76"/>
      <c r="D12" s="120">
        <f>+TB!B26</f>
        <v>25000</v>
      </c>
      <c r="E12" s="1"/>
      <c r="F12" s="38"/>
      <c r="G12" s="70"/>
    </row>
    <row r="13" spans="1:9" ht="15" thickBot="1" x14ac:dyDescent="0.4">
      <c r="D13" s="116">
        <f>SUM(D11:D12)</f>
        <v>40000</v>
      </c>
      <c r="E13" s="46"/>
      <c r="F13" s="52"/>
      <c r="G13" s="75"/>
    </row>
    <row r="14" spans="1:9" ht="14.25" customHeight="1" thickTop="1" x14ac:dyDescent="0.35">
      <c r="B14" s="6"/>
      <c r="C14" s="76"/>
      <c r="D14" s="120"/>
      <c r="F14" s="38"/>
      <c r="G14" s="66"/>
    </row>
    <row r="15" spans="1:9" x14ac:dyDescent="0.35">
      <c r="A15" s="3">
        <v>6</v>
      </c>
      <c r="B15" s="1" t="s">
        <v>34</v>
      </c>
      <c r="C15" s="3"/>
      <c r="D15" s="2"/>
    </row>
    <row r="16" spans="1:9" x14ac:dyDescent="0.35">
      <c r="B16" s="2" t="s">
        <v>145</v>
      </c>
      <c r="C16" s="3"/>
      <c r="D16" s="121">
        <f>+TB!B25</f>
        <v>163480</v>
      </c>
    </row>
    <row r="17" spans="1:4" ht="15" thickBot="1" x14ac:dyDescent="0.4">
      <c r="B17" s="1"/>
      <c r="C17" s="3"/>
      <c r="D17" s="116">
        <f>SUM(D16)</f>
        <v>163480</v>
      </c>
    </row>
    <row r="18" spans="1:4" ht="15" thickTop="1" x14ac:dyDescent="0.35">
      <c r="B18" s="1"/>
      <c r="C18" s="3"/>
      <c r="D18" s="121"/>
    </row>
    <row r="19" spans="1:4" x14ac:dyDescent="0.35">
      <c r="A19" s="9">
        <v>7</v>
      </c>
      <c r="B19" s="30" t="s">
        <v>35</v>
      </c>
    </row>
    <row r="20" spans="1:4" x14ac:dyDescent="0.35">
      <c r="A20" s="65"/>
      <c r="B20" s="13" t="s">
        <v>102</v>
      </c>
      <c r="D20" s="115">
        <f>TB!B23</f>
        <v>1000</v>
      </c>
    </row>
    <row r="21" spans="1:4" ht="15" thickBot="1" x14ac:dyDescent="0.4">
      <c r="D21" s="117">
        <f>+D20</f>
        <v>1000</v>
      </c>
    </row>
    <row r="22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37"/>
  <sheetViews>
    <sheetView zoomScaleNormal="100" zoomScaleSheetLayoutView="100" workbookViewId="0">
      <selection activeCell="G11" sqref="G11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137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109</v>
      </c>
      <c r="F5" s="39"/>
      <c r="G5" s="40" t="s">
        <v>13</v>
      </c>
      <c r="H5" s="41" t="s">
        <v>14</v>
      </c>
      <c r="I5" s="42"/>
      <c r="J5" s="43" t="s">
        <v>110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ht="15" thickBot="1" x14ac:dyDescent="0.4">
      <c r="A7" s="36"/>
      <c r="B7" s="44"/>
      <c r="C7" s="44"/>
      <c r="D7" s="44"/>
      <c r="E7" s="132">
        <f>SUM(E6:E6)</f>
        <v>0</v>
      </c>
      <c r="F7" s="131"/>
      <c r="G7" s="132">
        <f>SUM(G6:G6)</f>
        <v>153700</v>
      </c>
      <c r="H7" s="118"/>
      <c r="I7" s="119"/>
      <c r="J7" s="132">
        <f>SUM(J6:J6)</f>
        <v>153700</v>
      </c>
    </row>
    <row r="8" spans="1:13" ht="15" thickTop="1" x14ac:dyDescent="0.35">
      <c r="A8" s="36"/>
      <c r="B8" s="37"/>
      <c r="C8" s="37"/>
      <c r="D8" s="37"/>
      <c r="E8" s="47"/>
      <c r="F8" s="47"/>
      <c r="G8" s="47"/>
      <c r="H8" s="47"/>
      <c r="I8" s="47"/>
      <c r="J8" s="46"/>
    </row>
    <row r="9" spans="1:13" x14ac:dyDescent="0.35">
      <c r="A9" s="36"/>
      <c r="B9" s="37"/>
      <c r="C9" s="37"/>
      <c r="D9" s="37"/>
      <c r="E9" s="47"/>
      <c r="F9" s="47"/>
      <c r="G9" s="47"/>
      <c r="H9" s="17"/>
      <c r="I9" s="17"/>
      <c r="J9" s="17"/>
    </row>
    <row r="10" spans="1:13" ht="28.8" x14ac:dyDescent="0.35">
      <c r="A10" s="36"/>
      <c r="B10" s="36" t="s">
        <v>111</v>
      </c>
      <c r="C10" s="37"/>
      <c r="D10" s="37"/>
      <c r="E10" s="39" t="s">
        <v>109</v>
      </c>
      <c r="F10" s="39"/>
      <c r="G10" s="39" t="s">
        <v>15</v>
      </c>
      <c r="H10" s="41" t="s">
        <v>14</v>
      </c>
      <c r="I10" s="42"/>
      <c r="J10" s="43" t="s">
        <v>110</v>
      </c>
      <c r="M10" s="49"/>
    </row>
    <row r="11" spans="1:13" x14ac:dyDescent="0.35">
      <c r="A11" s="50"/>
      <c r="B11" s="44" t="str">
        <f>B6</f>
        <v>Furniture &amp; Fittings</v>
      </c>
      <c r="C11" s="44"/>
      <c r="D11" s="44"/>
      <c r="E11" s="131">
        <v>0</v>
      </c>
      <c r="F11" s="131"/>
      <c r="G11" s="118">
        <f>PPE!G4</f>
        <v>28887.178082191782</v>
      </c>
      <c r="H11" s="118"/>
      <c r="I11" s="119"/>
      <c r="J11" s="137">
        <f>SUM(E11:G11)</f>
        <v>28887.178082191782</v>
      </c>
    </row>
    <row r="12" spans="1:13" ht="15" thickBot="1" x14ac:dyDescent="0.4">
      <c r="A12" s="50"/>
      <c r="B12" s="44"/>
      <c r="C12" s="44"/>
      <c r="D12" s="44"/>
      <c r="E12" s="132">
        <f>SUM(E11:E11)</f>
        <v>0</v>
      </c>
      <c r="F12" s="131"/>
      <c r="G12" s="171">
        <f>SUM(G11:G11)</f>
        <v>28887.178082191782</v>
      </c>
      <c r="H12" s="118"/>
      <c r="I12" s="119"/>
      <c r="J12" s="132">
        <f>SUM(J11:J11)</f>
        <v>28887.178082191782</v>
      </c>
    </row>
    <row r="13" spans="1:13" ht="15" thickTop="1" x14ac:dyDescent="0.35">
      <c r="A13" s="36"/>
      <c r="B13" s="44"/>
      <c r="C13" s="44"/>
      <c r="D13" s="44"/>
      <c r="E13" s="45"/>
      <c r="F13" s="45"/>
      <c r="G13" s="51"/>
      <c r="H13" s="48"/>
      <c r="I13" s="46"/>
      <c r="J13" s="38"/>
    </row>
    <row r="14" spans="1:13" ht="28.8" x14ac:dyDescent="0.35">
      <c r="A14" s="2"/>
      <c r="B14" s="96" t="s">
        <v>80</v>
      </c>
      <c r="J14" s="90" t="s">
        <v>132</v>
      </c>
    </row>
    <row r="15" spans="1:13" x14ac:dyDescent="0.35">
      <c r="A15" s="2"/>
      <c r="B15" s="44" t="str">
        <f>B11</f>
        <v>Furniture &amp; Fittings</v>
      </c>
      <c r="J15" s="74">
        <f>J6-J11</f>
        <v>124812.82191780822</v>
      </c>
    </row>
    <row r="16" spans="1:13" ht="15" thickBot="1" x14ac:dyDescent="0.4">
      <c r="A16" s="2"/>
      <c r="J16" s="138">
        <f>SUM(J15:J15)</f>
        <v>124812.82191780822</v>
      </c>
    </row>
    <row r="17" spans="1:1" ht="15" thickTop="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142</v>
      </c>
      <c r="B1" s="30"/>
      <c r="F1" s="93"/>
      <c r="G1" s="94"/>
      <c r="H1" s="152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125</v>
      </c>
      <c r="B3" s="30"/>
    </row>
    <row r="4" spans="1:8" x14ac:dyDescent="0.35">
      <c r="A4" s="30" t="s">
        <v>143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>
        <f>+PL!D12</f>
        <v>2124756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>
        <f>SUM(H6:H8)</f>
        <v>2124756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127</v>
      </c>
      <c r="D11" s="99"/>
      <c r="F11" s="189">
        <f>'P10'!G12</f>
        <v>28887.178082191782</v>
      </c>
      <c r="H11" s="203">
        <f>+F11</f>
        <v>28887.178082191782</v>
      </c>
    </row>
    <row r="12" spans="1:8" x14ac:dyDescent="0.35">
      <c r="E12" s="21"/>
      <c r="H12" s="21">
        <f>SUM(H9:H11)</f>
        <v>2153643.1780821919</v>
      </c>
    </row>
    <row r="13" spans="1:8" x14ac:dyDescent="0.35">
      <c r="A13" s="30" t="s">
        <v>128</v>
      </c>
      <c r="B13" s="30"/>
      <c r="E13" s="21"/>
      <c r="H13" s="21"/>
    </row>
    <row r="14" spans="1:8" x14ac:dyDescent="0.35">
      <c r="A14" s="13" t="s">
        <v>86</v>
      </c>
      <c r="F14" s="65" t="s">
        <v>134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161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135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129</v>
      </c>
      <c r="E31" s="90" t="s">
        <v>97</v>
      </c>
      <c r="F31" s="90" t="s">
        <v>130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131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5">
        <f>+'P10'!G6</f>
        <v>153700</v>
      </c>
      <c r="C35" s="65">
        <v>5</v>
      </c>
      <c r="D35" s="140">
        <v>0</v>
      </c>
      <c r="E35" s="139">
        <f>B35/C35</f>
        <v>30740</v>
      </c>
      <c r="F35" s="139">
        <f>D35+E35</f>
        <v>30740</v>
      </c>
      <c r="G35" s="111"/>
      <c r="H35" s="142">
        <f>B35-F35</f>
        <v>122960</v>
      </c>
    </row>
    <row r="36" spans="1:8" x14ac:dyDescent="0.35">
      <c r="A36" s="190" t="e">
        <f>+'P10'!#REF!</f>
        <v>#REF!</v>
      </c>
      <c r="B36" s="165" t="e">
        <f>+'P10'!#REF!</f>
        <v>#REF!</v>
      </c>
      <c r="C36" s="65">
        <v>5</v>
      </c>
      <c r="D36" s="199">
        <v>0</v>
      </c>
      <c r="E36" s="197" t="e">
        <f t="shared" ref="E36:E40" si="0">B36/C36</f>
        <v>#REF!</v>
      </c>
      <c r="F36" s="197" t="e">
        <f t="shared" ref="F36:F40" si="1">D36+E36</f>
        <v>#REF!</v>
      </c>
      <c r="G36" s="111"/>
      <c r="H36" s="201" t="e">
        <f t="shared" ref="H36:H40" si="2">B36-F36</f>
        <v>#REF!</v>
      </c>
    </row>
    <row r="37" spans="1:8" x14ac:dyDescent="0.35">
      <c r="A37" s="190" t="e">
        <f>+'P10'!#REF!</f>
        <v>#REF!</v>
      </c>
      <c r="B37" s="165" t="e">
        <f>+'P10'!#REF!</f>
        <v>#REF!</v>
      </c>
      <c r="C37" s="65">
        <v>5</v>
      </c>
      <c r="D37" s="199">
        <v>0</v>
      </c>
      <c r="E37" s="197" t="e">
        <f t="shared" si="0"/>
        <v>#REF!</v>
      </c>
      <c r="F37" s="197" t="e">
        <f t="shared" si="1"/>
        <v>#REF!</v>
      </c>
      <c r="G37" s="111"/>
      <c r="H37" s="201" t="e">
        <f t="shared" si="2"/>
        <v>#REF!</v>
      </c>
    </row>
    <row r="38" spans="1:8" s="180" customFormat="1" x14ac:dyDescent="0.35">
      <c r="A38" s="190" t="e">
        <f>+'P10'!#REF!</f>
        <v>#REF!</v>
      </c>
      <c r="B38" s="165" t="e">
        <f>+'P10'!#REF!</f>
        <v>#REF!</v>
      </c>
      <c r="C38" s="186">
        <v>5</v>
      </c>
      <c r="D38" s="199">
        <v>0</v>
      </c>
      <c r="E38" s="197" t="e">
        <f t="shared" si="0"/>
        <v>#REF!</v>
      </c>
      <c r="F38" s="197" t="e">
        <f t="shared" si="1"/>
        <v>#REF!</v>
      </c>
      <c r="G38" s="191"/>
      <c r="H38" s="201" t="e">
        <f t="shared" si="2"/>
        <v>#REF!</v>
      </c>
    </row>
    <row r="39" spans="1:8" s="180" customFormat="1" x14ac:dyDescent="0.35">
      <c r="A39" s="190" t="e">
        <f>+'P10'!#REF!</f>
        <v>#REF!</v>
      </c>
      <c r="B39" s="165" t="e">
        <f>+'P10'!#REF!</f>
        <v>#REF!</v>
      </c>
      <c r="C39" s="186">
        <v>5</v>
      </c>
      <c r="D39" s="199">
        <v>0</v>
      </c>
      <c r="E39" s="197" t="e">
        <f t="shared" si="0"/>
        <v>#REF!</v>
      </c>
      <c r="F39" s="197" t="e">
        <f t="shared" si="1"/>
        <v>#REF!</v>
      </c>
      <c r="G39" s="191"/>
      <c r="H39" s="201" t="e">
        <f t="shared" si="2"/>
        <v>#REF!</v>
      </c>
    </row>
    <row r="40" spans="1:8" s="180" customFormat="1" x14ac:dyDescent="0.35">
      <c r="A40" s="190" t="e">
        <f>+'P10'!#REF!</f>
        <v>#REF!</v>
      </c>
      <c r="B40" s="165" t="e">
        <f>+'P10'!#REF!</f>
        <v>#REF!</v>
      </c>
      <c r="C40" s="186">
        <v>5</v>
      </c>
      <c r="D40" s="199">
        <v>0</v>
      </c>
      <c r="E40" s="197" t="e">
        <f t="shared" si="0"/>
        <v>#REF!</v>
      </c>
      <c r="F40" s="197" t="e">
        <f t="shared" si="1"/>
        <v>#REF!</v>
      </c>
      <c r="G40" s="191"/>
      <c r="H40" s="201" t="e">
        <f t="shared" si="2"/>
        <v>#REF!</v>
      </c>
    </row>
    <row r="41" spans="1:8" s="180" customFormat="1" ht="4.8" customHeight="1" x14ac:dyDescent="0.35">
      <c r="A41" s="190"/>
      <c r="B41" s="198"/>
      <c r="C41" s="186"/>
      <c r="D41" s="199"/>
      <c r="E41" s="197"/>
      <c r="F41" s="197"/>
      <c r="G41" s="191"/>
      <c r="H41" s="201"/>
    </row>
    <row r="42" spans="1:8" ht="15" thickBot="1" x14ac:dyDescent="0.4">
      <c r="A42" s="63" t="s">
        <v>27</v>
      </c>
      <c r="B42" s="141" t="e">
        <f>SUM(B35:B40)</f>
        <v>#REF!</v>
      </c>
      <c r="C42" s="113"/>
      <c r="D42" s="200">
        <f>SUM(D35:D40)</f>
        <v>0</v>
      </c>
      <c r="E42" s="200" t="e">
        <f t="shared" ref="E42:H42" si="3">SUM(E35:E40)</f>
        <v>#REF!</v>
      </c>
      <c r="F42" s="200" t="e">
        <f t="shared" si="3"/>
        <v>#REF!</v>
      </c>
      <c r="G42" s="113"/>
      <c r="H42" s="200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87" t="s">
        <v>162</v>
      </c>
    </row>
    <row r="46" spans="1:8" x14ac:dyDescent="0.35">
      <c r="A46" s="182" t="s">
        <v>163</v>
      </c>
      <c r="H46" s="162">
        <v>0</v>
      </c>
    </row>
    <row r="47" spans="1:8" x14ac:dyDescent="0.35">
      <c r="A47" s="182" t="s">
        <v>164</v>
      </c>
      <c r="H47" s="206" t="e">
        <f>-H15</f>
        <v>#REF!</v>
      </c>
    </row>
    <row r="48" spans="1:8" x14ac:dyDescent="0.35">
      <c r="A48" s="182"/>
      <c r="H48" s="162" t="e">
        <f>SUM(H46:H47)</f>
        <v>#REF!</v>
      </c>
    </row>
    <row r="49" spans="1:8" x14ac:dyDescent="0.35">
      <c r="A49" s="182"/>
    </row>
    <row r="50" spans="1:8" x14ac:dyDescent="0.35">
      <c r="A50" s="182" t="s">
        <v>165</v>
      </c>
    </row>
    <row r="51" spans="1:8" x14ac:dyDescent="0.35">
      <c r="A51" s="182" t="s">
        <v>166</v>
      </c>
      <c r="H51" s="162">
        <v>0</v>
      </c>
    </row>
    <row r="52" spans="1:8" x14ac:dyDescent="0.35">
      <c r="A52" s="182" t="s">
        <v>167</v>
      </c>
      <c r="H52" s="162">
        <v>0</v>
      </c>
    </row>
    <row r="53" spans="1:8" ht="15" thickBot="1" x14ac:dyDescent="0.4">
      <c r="A53" s="182" t="s">
        <v>168</v>
      </c>
      <c r="H53" s="207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P11</vt:lpstr>
      <vt:lpstr>CE</vt:lpstr>
      <vt:lpstr>CF</vt:lpstr>
      <vt:lpstr>PL</vt:lpstr>
      <vt:lpstr>BS</vt:lpstr>
      <vt:lpstr>P09</vt:lpstr>
      <vt:lpstr>P10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2026-09-29T08:00:38Z</dcterms:modified>
</cp:coreProperties>
</file>