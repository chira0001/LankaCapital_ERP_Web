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94E53E6F-A3EA-4D12-AFA5-D324F08EB400}" xr6:coauthVersionLast="36" xr6:coauthVersionMax="47" xr10:uidLastSave="{00000000-0000-0000-0000-000000000000}"/>
  <bookViews>
    <workbookView xWindow="0" yWindow="0" windowWidth="12072" windowHeight="4512" tabRatio="705" xr2:uid="{00000000-000D-0000-FFFF-FFFF00000000}"/>
  </bookViews>
  <sheets>
    <sheet name="PPE" sheetId="24" r:id="rId1"/>
    <sheet name="Working" sheetId="25" r:id="rId2"/>
    <sheet name="TB" sheetId="7" r:id="rId3"/>
    <sheet name="PL" sheetId="2" r:id="rId4"/>
    <sheet name="BS" sheetId="1" r:id="rId5"/>
    <sheet name="CE" sheetId="8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G5" i="24" l="1"/>
  <c r="G4" i="24"/>
  <c r="D42" i="20" l="1"/>
  <c r="A36" i="20"/>
  <c r="A37" i="20"/>
  <c r="A38" i="20"/>
  <c r="A39" i="20"/>
  <c r="A40" i="20"/>
  <c r="A35" i="20"/>
  <c r="E27" i="1"/>
  <c r="E12" i="1"/>
  <c r="D29" i="6"/>
  <c r="D30" i="6" s="1"/>
  <c r="D11" i="6"/>
  <c r="C22" i="7"/>
  <c r="C18" i="7"/>
  <c r="C17" i="7"/>
  <c r="B44" i="7"/>
  <c r="B42" i="7"/>
  <c r="B37" i="7"/>
  <c r="B39" i="7"/>
  <c r="D17" i="6" s="1"/>
  <c r="B38" i="7" l="1"/>
  <c r="D18" i="6" s="1"/>
  <c r="B36" i="7"/>
  <c r="B33" i="7"/>
  <c r="B29" i="7"/>
  <c r="D12" i="6" s="1"/>
  <c r="B32" i="7"/>
  <c r="B31" i="7"/>
  <c r="D16" i="6" s="1"/>
  <c r="G21" i="5"/>
  <c r="J21" i="5" s="1"/>
  <c r="G20" i="5"/>
  <c r="J20" i="5" s="1"/>
  <c r="G19" i="5"/>
  <c r="J19" i="5" s="1"/>
  <c r="G18" i="5"/>
  <c r="J18" i="5" s="1"/>
  <c r="B11" i="5"/>
  <c r="B21" i="5" s="1"/>
  <c r="B30" i="5" s="1"/>
  <c r="B10" i="5"/>
  <c r="B20" i="5" s="1"/>
  <c r="B29" i="5" s="1"/>
  <c r="B9" i="5"/>
  <c r="B19" i="5" s="1"/>
  <c r="B28" i="5" s="1"/>
  <c r="B8" i="5"/>
  <c r="B18" i="5" s="1"/>
  <c r="B27" i="5" s="1"/>
  <c r="B7" i="5"/>
  <c r="B17" i="5" s="1"/>
  <c r="B26" i="5" s="1"/>
  <c r="B6" i="5"/>
  <c r="B16" i="5" s="1"/>
  <c r="B25" i="5" s="1"/>
  <c r="B14" i="7"/>
  <c r="G11" i="5" s="1"/>
  <c r="B13" i="7"/>
  <c r="G10" i="5" s="1"/>
  <c r="B12" i="7"/>
  <c r="G9" i="5" s="1"/>
  <c r="B11" i="7"/>
  <c r="G8" i="5" s="1"/>
  <c r="F5" i="24"/>
  <c r="D5" i="24"/>
  <c r="B10" i="7" s="1"/>
  <c r="G7" i="5" s="1"/>
  <c r="F4" i="24"/>
  <c r="D4" i="24"/>
  <c r="B9" i="7" s="1"/>
  <c r="G6" i="5" s="1"/>
  <c r="A5" i="24"/>
  <c r="A4" i="24"/>
  <c r="C20" i="7"/>
  <c r="C19" i="7"/>
  <c r="J20" i="19" s="1"/>
  <c r="B35" i="7"/>
  <c r="D14" i="6" s="1"/>
  <c r="B34" i="7"/>
  <c r="D13" i="6" s="1"/>
  <c r="D33" i="25"/>
  <c r="C33" i="25"/>
  <c r="B33" i="25"/>
  <c r="D32" i="25"/>
  <c r="D31" i="25"/>
  <c r="D30" i="25"/>
  <c r="D29" i="25"/>
  <c r="D28" i="25"/>
  <c r="C32" i="25"/>
  <c r="C31" i="25"/>
  <c r="C30" i="25"/>
  <c r="C29" i="25"/>
  <c r="C28" i="25"/>
  <c r="B25" i="25"/>
  <c r="C27" i="7"/>
  <c r="G34" i="15"/>
  <c r="G14" i="15"/>
  <c r="J6" i="5" l="1"/>
  <c r="B35" i="20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6" i="24"/>
  <c r="G17" i="5"/>
  <c r="J17" i="5" s="1"/>
  <c r="J21" i="19"/>
  <c r="E20" i="7"/>
  <c r="D25" i="6"/>
  <c r="D24" i="6"/>
  <c r="D10" i="2"/>
  <c r="J23" i="19"/>
  <c r="J22" i="19"/>
  <c r="D15" i="6"/>
  <c r="E35" i="20"/>
  <c r="E38" i="20" l="1"/>
  <c r="F38" i="20" s="1"/>
  <c r="H38" i="20"/>
  <c r="E39" i="20"/>
  <c r="F39" i="20" s="1"/>
  <c r="H39" i="20"/>
  <c r="E36" i="20"/>
  <c r="E40" i="20"/>
  <c r="F40" i="20" s="1"/>
  <c r="H40" i="20" s="1"/>
  <c r="J26" i="5"/>
  <c r="E37" i="20"/>
  <c r="F37" i="20" s="1"/>
  <c r="H37" i="20" s="1"/>
  <c r="B42" i="20"/>
  <c r="F35" i="20"/>
  <c r="F42" i="20" l="1"/>
  <c r="E42" i="20"/>
  <c r="F36" i="20"/>
  <c r="H36" i="20" s="1"/>
  <c r="H35" i="20"/>
  <c r="H42" i="20" s="1"/>
  <c r="E12" i="5"/>
  <c r="E22" i="5"/>
  <c r="D20" i="6"/>
  <c r="D21" i="6"/>
  <c r="D23" i="6"/>
  <c r="G6" i="24" l="1"/>
  <c r="C15" i="7" s="1"/>
  <c r="D19" i="6"/>
  <c r="J24" i="19"/>
  <c r="J25" i="5"/>
  <c r="G22" i="5"/>
  <c r="F11" i="20" l="1"/>
  <c r="H11" i="20" s="1"/>
  <c r="B45" i="7"/>
  <c r="D22" i="6" s="1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47" i="20"/>
  <c r="H48" i="20" s="1"/>
  <c r="H53" i="20" s="1"/>
  <c r="H24" i="20"/>
  <c r="G19" i="15"/>
  <c r="C49" i="7" l="1"/>
  <c r="E28" i="1"/>
  <c r="E29" i="1" s="1"/>
  <c r="B49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51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<sst xmlns="http://schemas.openxmlformats.org/spreadsheetml/2006/main" count="274" uniqueCount="206">
  <si>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</si>
  <si>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</si>
  <si>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</si>
  <si>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</si>
  <si>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</si>
  <si>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</si>
  <si>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</si>
  <si>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</si>
  <si>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</si>
  <si>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</si>
  <si>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</si>
  <si>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</si>
  <si>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</si>
  <si>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</si>
  <si>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</si>
  <si>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</si>
  <si>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</si>
  <si>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</si>
  <si>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</si>
  <si>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ADMINSTRATION EXPENSES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</si>
  <si>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</si>
  <si>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</si>
  <si>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</si>
  <si>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</si>
  <si>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</si>
  <si>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</si>
  <si>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</si>
  <si>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</si>
  <si>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</si>
  <si>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</si>
  <si>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</si>
  <si>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</si>
  <si>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</si>
  <si>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</si>
  <si>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</si>
  <si>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</si>
  <si>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</si>
  <si>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</si>
  <si>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</si>
  <si>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</si>
  <si>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</si>
  <si>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</si>
  <si>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</si>
  <si>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</si>
  <si>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</si>
  <si>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</si>
  <si>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</si>
  <si>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</si>
  <si>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</si>
  <si>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</si>
  <si>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</si>
  <si>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</si>
  <si>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</si>
  <si>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</si>
  <si>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</si>
  <si>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</si>
  <si>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</si>
  <si>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</si>
  <si>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</si>
  <si>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</si>
  <si>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</si>
  <si>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</si>
  <si>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</si>
  <si>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</si>
  <si>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</si>
  <si>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</si>
  <si>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</si>
  <si>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</si>
  <si>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</si>
  <si>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</si>
  <si>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</si>
  <si>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</si>
  <si>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</si>
  <si>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</si>
  <si>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</si>
  <si>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</si>
  <si>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</si>
  <si>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</si>
  <si>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</si>
  <si>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</si>
  <si>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</si>
  <si>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</si>
  <si>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</si>
  <si>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</si>
  <si>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</si>
  <si>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</si>
  <si>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</si>
  <si>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</si>
  <si>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</si>
  <si>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</si>
  <si>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</si>
  <si>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</si>
  <si>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</si>
  <si>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</si>
  <si>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</si>
  <si>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</si>
  <si>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</si>
  <si>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</si>
  <si>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</si>
  <si>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</si>
  <si>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</si>
  <si>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Incorporation Fees</t>
  </si>
  <si>
    <t>Electricity</t>
  </si>
  <si>
    <t>Travelling Charges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</si>
  <si>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</si>
  <si>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</si>
  <si>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</si>
  <si>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</si>
  <si>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</si>
  <si>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</si>
  <si>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</si>
  <si>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</si>
  <si>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</si>
  <si>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Rent Expenses</t>
  </si>
  <si>
    <t>Fuel Expenses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</si>
  <si>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</si>
  <si>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</si>
  <si>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</si>
  <si>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</si>
  <si>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</si>
  <si>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</si>
  <si>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</si>
  <si>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</si>
  <si>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</si>
  <si>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</si>
  <si>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</si>
  <si>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</si>
  <si>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</si>
  <si>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</si>
  <si>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</si>
  <si>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</si>
  <si>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</si>
  <si>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</si>
  <si>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</si>
  <si>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</si>
  <si>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</si>
  <si>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</si>
  <si>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</si>
  <si>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</si>
  <si>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</si>
  <si>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</si>
  <si>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</si>
  <si>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</si>
  <si>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</si>
  <si>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</si>
  <si>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</si>
  <si>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</si>
  <si>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</si>
  <si>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</si>
  <si>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</si>
  <si>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</si>
  <si>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</si>
  <si>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</si>
  <si>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</si>
  <si>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</si>
  <si>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Capuital Pvt Ltd</t>
  </si>
  <si>
    <t>N K R S LANKA CAPITAL (PRIVATE) LIMITED</t>
  </si>
  <si>
    <t>TIN NO. 111350027</t>
  </si>
  <si>
    <t xml:space="preserve">Expenses </t>
  </si>
  <si>
    <t>Advertisment &amp; Sales Promotion</t>
  </si>
  <si>
    <t>Bad Debts</t>
  </si>
  <si>
    <t>Commission</t>
  </si>
  <si>
    <t>EPF &amp; Etf</t>
  </si>
  <si>
    <t>Rent</t>
  </si>
  <si>
    <t>Maintance &amp; Repair</t>
  </si>
  <si>
    <t xml:space="preserve">Phone &amp; Internet bills </t>
  </si>
  <si>
    <t>Company Incorporation fees</t>
  </si>
  <si>
    <t>Insurance</t>
  </si>
  <si>
    <t>Stationery &amp; Documents</t>
  </si>
  <si>
    <t>Income</t>
  </si>
  <si>
    <t>Office Equipment</t>
  </si>
  <si>
    <t>Bill Nu.</t>
  </si>
  <si>
    <t>Computer &amp; Printers</t>
  </si>
  <si>
    <t>Telephone</t>
  </si>
  <si>
    <t>CCTV Camera</t>
  </si>
  <si>
    <t>EPF &amp; ETF</t>
  </si>
  <si>
    <t>EPF20%</t>
  </si>
  <si>
    <t>EPF12%</t>
  </si>
  <si>
    <t>ETF3%</t>
  </si>
  <si>
    <t>EPF</t>
  </si>
  <si>
    <t>ETF</t>
  </si>
  <si>
    <t>Date</t>
  </si>
  <si>
    <t>Sales Commission</t>
  </si>
  <si>
    <t>Repair &amp; Maintance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</si>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</sst>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  <font>
      <u/>
      <sz val="10"/>
      <color theme="1"/>
      <name val="Trebuchet MS"/>
      <family val="2"/>
    </font>
    <font>
      <sz val="11"/>
      <name val="Times New Roman"/>
      <family val="1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4" fillId="0" borderId="0"/>
  </cellStyleXfs>
  <cellXfs count="240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Alignment="1">
      <alignment horizontal="center" vertical="top"/>
    </xf>
    <xf numFmtId="166" fontId="19" fillId="0" borderId="0" xfId="1" applyNumberFormat="1" applyFont="1" applyFill="1" applyAlignment="1">
      <alignment vertical="top"/>
    </xf>
    <xf numFmtId="166" fontId="19" fillId="0" borderId="2" xfId="1" applyNumberFormat="1" applyFont="1" applyFill="1" applyBorder="1" applyAlignment="1">
      <alignment vertical="top"/>
    </xf>
    <xf numFmtId="166" fontId="19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2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166" fontId="20" fillId="0" borderId="0" xfId="1" applyNumberFormat="1" applyFont="1" applyFill="1" applyAlignment="1">
      <alignment vertical="top"/>
    </xf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166" fontId="21" fillId="0" borderId="0" xfId="1" applyNumberFormat="1" applyFont="1" applyFill="1" applyAlignment="1">
      <alignment vertical="top"/>
    </xf>
    <xf numFmtId="0" fontId="10" fillId="0" borderId="6" xfId="5" applyFont="1" applyBorder="1" applyAlignment="1">
      <alignment horizontal="center" vertical="center"/>
    </xf>
    <xf numFmtId="0" fontId="10" fillId="0" borderId="6" xfId="5" applyFont="1" applyBorder="1" applyAlignment="1">
      <alignment horizontal="left" vertical="center" wrapText="1"/>
    </xf>
    <xf numFmtId="0" fontId="10" fillId="0" borderId="6" xfId="5" applyFont="1" applyBorder="1" applyAlignment="1">
      <alignment horizontal="left" vertical="center"/>
    </xf>
    <xf numFmtId="17" fontId="10" fillId="0" borderId="6" xfId="5" applyNumberFormat="1" applyFont="1" applyBorder="1" applyAlignment="1">
      <alignment horizontal="left" vertical="center"/>
    </xf>
    <xf numFmtId="43" fontId="10" fillId="0" borderId="6" xfId="1" applyFont="1" applyBorder="1" applyAlignment="1">
      <alignment horizontal="left" vertical="center"/>
    </xf>
    <xf numFmtId="43" fontId="10" fillId="0" borderId="6" xfId="5" applyNumberFormat="1" applyFont="1" applyBorder="1" applyAlignment="1">
      <alignment horizontal="left" vertical="center"/>
    </xf>
    <xf numFmtId="43" fontId="9" fillId="0" borderId="6" xfId="5" applyNumberFormat="1" applyFont="1" applyBorder="1" applyAlignment="1">
      <alignment horizontal="left" vertic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left" vertical="top"/>
    </xf>
    <xf numFmtId="166" fontId="18" fillId="0" borderId="0" xfId="0" applyNumberFormat="1" applyFont="1" applyAlignment="1">
      <alignment horizontal="center" vertical="top"/>
    </xf>
    <xf numFmtId="0" fontId="18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43" fontId="19" fillId="0" borderId="0" xfId="0" applyNumberFormat="1" applyFont="1"/>
    <xf numFmtId="0" fontId="19" fillId="0" borderId="0" xfId="0" applyFont="1" applyAlignment="1">
      <alignment horizontal="left"/>
    </xf>
    <xf numFmtId="0" fontId="18" fillId="0" borderId="0" xfId="0" applyFont="1" applyAlignment="1">
      <alignment vertical="top"/>
    </xf>
    <xf numFmtId="166" fontId="19" fillId="0" borderId="0" xfId="0" applyNumberFormat="1" applyFont="1"/>
    <xf numFmtId="43" fontId="0" fillId="0" borderId="0" xfId="1" applyFont="1"/>
    <xf numFmtId="43" fontId="10" fillId="0" borderId="0" xfId="5" applyNumberFormat="1" applyFont="1" applyAlignment="1">
      <alignment horizontal="left" vertical="center"/>
    </xf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166" fontId="10" fillId="0" borderId="6" xfId="1" quotePrefix="1" applyNumberFormat="1" applyFont="1" applyBorder="1" applyAlignment="1">
      <alignment horizontal="center" vertical="center"/>
    </xf>
    <xf numFmtId="166" fontId="19" fillId="2" borderId="0" xfId="1" applyNumberFormat="1" applyFont="1" applyFill="1" applyAlignment="1">
      <alignment vertical="top"/>
    </xf>
    <xf numFmtId="166" fontId="20" fillId="2" borderId="0" xfId="1" applyNumberFormat="1" applyFont="1" applyFill="1"/>
    <xf numFmtId="166" fontId="23" fillId="2" borderId="0" xfId="1" applyNumberFormat="1" applyFont="1" applyFill="1" applyAlignment="1">
      <alignment vertical="top"/>
    </xf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9" fillId="2" borderId="0" xfId="1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9" fillId="0" borderId="0" xfId="1" applyNumberFormat="1" applyFont="1" applyFill="1" applyAlignment="1">
      <alignment vertical="top"/>
    </xf>
    <xf numFmtId="166" fontId="19" fillId="2" borderId="0" xfId="1" applyNumberFormat="1" applyFont="1" applyFill="1" applyAlignment="1">
      <alignment vertical="top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166" fontId="20" fillId="0" borderId="0" xfId="1" applyNumberFormat="1" applyFont="1" applyFill="1" applyAlignment="1">
      <alignment vertical="top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left" vertical="top"/>
    </xf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18" fillId="0" borderId="0" xfId="0" applyFont="1" applyAlignment="1">
      <alignment horizontal="center" vertical="top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20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8"/>
  <sheetViews>
    <sheetView tabSelected="1" workbookViewId="0">
      <selection activeCell="B16" sqref="B16"/>
    </sheetView>
  </sheetViews>
  <sheetFormatPr defaultRowHeight="14.4" x14ac:dyDescent="0.3"/>
  <cols>
    <col min="1" max="1" width="19.109375" style="44" bestFit="1" customWidth="1"/>
    <col min="2" max="2" width="11.77734375" style="44" customWidth="1"/>
    <col min="3" max="3" width="11.6640625" style="44" bestFit="1" customWidth="1"/>
    <col min="4" max="4" width="12.5546875" style="44" bestFit="1" customWidth="1"/>
    <col min="5" max="5" width="14.6640625" style="44" customWidth="1"/>
    <col min="6" max="6" width="12" style="44" customWidth="1"/>
    <col min="7" max="7" width="12.5546875" style="44" customWidth="1"/>
    <col min="8" max="8" width="8.88671875" style="44"/>
    <col min="9" max="9" width="10.6640625" style="44" bestFit="1" customWidth="1"/>
    <col min="10" max="16384" width="8.88671875" style="44"/>
  </cols>
  <sheetData>
    <row r="1" spans="1:9" x14ac:dyDescent="0.3">
      <c r="A1" s="37" t="s">
        <v>120</v>
      </c>
      <c r="C1" s="37"/>
    </row>
    <row r="3" spans="1:9" ht="28.8" x14ac:dyDescent="0.3">
      <c r="A3" s="142" t="s">
        <v>121</v>
      </c>
      <c r="B3" s="143" t="s">
        <v>122</v>
      </c>
      <c r="C3" s="142" t="s">
        <v>125</v>
      </c>
      <c r="D3" s="144" t="s">
        <v>115</v>
      </c>
      <c r="E3" s="143" t="s">
        <v>123</v>
      </c>
      <c r="F3" s="143" t="s">
        <v>181</v>
      </c>
      <c r="G3" s="143" t="s">
        <v>124</v>
      </c>
    </row>
    <row r="4" spans="1:9" x14ac:dyDescent="0.3">
      <c r="A4" s="144" t="str">
        <f>+Working!A20</f>
        <v>Furniture &amp; Fittings</v>
      </c>
      <c r="B4" s="145">
        <v>45385</v>
      </c>
      <c r="C4" s="181">
        <v>5</v>
      </c>
      <c r="D4" s="146">
        <f>+Working!B20</f>
        <v>153700</v>
      </c>
      <c r="E4" s="145">
        <v>45728</v>
      </c>
      <c r="F4" s="146">
        <f t="shared" ref="F4:F5" si="0">E4-B4</f>
        <v>343</v>
      </c>
      <c r="G4" s="147">
        <f>(D4/C4)*(F4/365)</f>
        <v>28887.178082191782</v>
      </c>
      <c r="I4" s="176"/>
    </row>
    <row r="5" spans="1:9" x14ac:dyDescent="0.3">
      <c r="A5" s="144" t="str">
        <f>+Working!A21</f>
        <v>Office Equipment</v>
      </c>
      <c r="B5" s="145">
        <v>45388</v>
      </c>
      <c r="C5" s="181">
        <v>5</v>
      </c>
      <c r="D5" s="146">
        <f>+Working!B21</f>
        <v>4600</v>
      </c>
      <c r="E5" s="145">
        <v>45728</v>
      </c>
      <c r="F5" s="146">
        <f t="shared" si="0"/>
        <v>340</v>
      </c>
      <c r="G5" s="147">
        <f>(D5/C5)*(F5/365)</f>
        <v>856.98630136986299</v>
      </c>
    </row>
    <row r="6" spans="1:9" x14ac:dyDescent="0.3">
      <c r="A6" s="144"/>
      <c r="B6" s="144"/>
      <c r="C6" s="144"/>
      <c r="D6" s="148">
        <f>SUM(D4:D5)</f>
        <v>158300</v>
      </c>
      <c r="E6" s="144"/>
      <c r="F6" s="144"/>
      <c r="G6" s="148">
        <f>SUM(G4:G5)</f>
        <v>29744.164383561645</v>
      </c>
    </row>
    <row r="8" spans="1:9" x14ac:dyDescent="0.3">
      <c r="D8" s="17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dimension ref="A2:D34"/>
  <sheetViews>
    <sheetView topLeftCell="A13" workbookViewId="0">
      <selection activeCell="D33" sqref="D33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2" spans="1:2" x14ac:dyDescent="0.3">
      <c r="A2" t="s">
        <v>111</v>
      </c>
      <c r="B2" s="175">
        <v>2328236</v>
      </c>
    </row>
    <row r="3" spans="1:2" x14ac:dyDescent="0.3">
      <c r="B3" s="175"/>
    </row>
    <row r="4" spans="1:2" x14ac:dyDescent="0.3">
      <c r="A4" t="s">
        <v>158</v>
      </c>
      <c r="B4" s="175"/>
    </row>
    <row r="5" spans="1:2" x14ac:dyDescent="0.3">
      <c r="A5" t="s">
        <v>159</v>
      </c>
      <c r="B5" s="180">
        <v>99975</v>
      </c>
    </row>
    <row r="6" spans="1:2" x14ac:dyDescent="0.3">
      <c r="A6" t="s">
        <v>160</v>
      </c>
      <c r="B6" s="175">
        <v>163480</v>
      </c>
    </row>
    <row r="7" spans="1:2" x14ac:dyDescent="0.3">
      <c r="A7" t="s">
        <v>161</v>
      </c>
      <c r="B7" s="180">
        <v>11000</v>
      </c>
    </row>
    <row r="8" spans="1:2" x14ac:dyDescent="0.3">
      <c r="A8" t="s">
        <v>141</v>
      </c>
      <c r="B8" s="180">
        <v>900750</v>
      </c>
    </row>
    <row r="9" spans="1:2" x14ac:dyDescent="0.3">
      <c r="A9" t="s">
        <v>162</v>
      </c>
      <c r="B9" s="175">
        <v>16522</v>
      </c>
    </row>
    <row r="10" spans="1:2" x14ac:dyDescent="0.3">
      <c r="A10" t="s">
        <v>163</v>
      </c>
      <c r="B10" s="180">
        <v>171150</v>
      </c>
    </row>
    <row r="11" spans="1:2" x14ac:dyDescent="0.3">
      <c r="A11" t="s">
        <v>164</v>
      </c>
      <c r="B11" s="180">
        <v>71672.5</v>
      </c>
    </row>
    <row r="12" spans="1:2" x14ac:dyDescent="0.3">
      <c r="A12" t="s">
        <v>102</v>
      </c>
      <c r="B12" s="180">
        <v>13070</v>
      </c>
    </row>
    <row r="13" spans="1:2" x14ac:dyDescent="0.3">
      <c r="A13" t="s">
        <v>165</v>
      </c>
      <c r="B13" s="180">
        <v>45597</v>
      </c>
    </row>
    <row r="14" spans="1:2" x14ac:dyDescent="0.3">
      <c r="A14" t="s">
        <v>166</v>
      </c>
      <c r="B14" s="180">
        <v>60000</v>
      </c>
    </row>
    <row r="15" spans="1:2" x14ac:dyDescent="0.3">
      <c r="A15" t="s">
        <v>167</v>
      </c>
      <c r="B15" s="180">
        <v>10500</v>
      </c>
    </row>
    <row r="16" spans="1:2" x14ac:dyDescent="0.3">
      <c r="A16" t="s">
        <v>168</v>
      </c>
      <c r="B16" s="180">
        <v>94812</v>
      </c>
    </row>
    <row r="17" spans="1:4" x14ac:dyDescent="0.3">
      <c r="B17" s="175"/>
    </row>
    <row r="18" spans="1:4" x14ac:dyDescent="0.3">
      <c r="B18" s="175"/>
    </row>
    <row r="19" spans="1:4" x14ac:dyDescent="0.3">
      <c r="C19" t="s">
        <v>171</v>
      </c>
    </row>
    <row r="20" spans="1:4" x14ac:dyDescent="0.3">
      <c r="A20" t="s">
        <v>116</v>
      </c>
      <c r="B20" s="175">
        <v>153700</v>
      </c>
      <c r="C20">
        <v>520</v>
      </c>
    </row>
    <row r="21" spans="1:4" x14ac:dyDescent="0.3">
      <c r="A21" t="s">
        <v>170</v>
      </c>
      <c r="B21" s="175">
        <v>4600</v>
      </c>
      <c r="C21">
        <v>1019</v>
      </c>
    </row>
    <row r="22" spans="1:4" x14ac:dyDescent="0.3">
      <c r="A22" t="s">
        <v>172</v>
      </c>
      <c r="B22" s="175">
        <v>35000</v>
      </c>
      <c r="C22">
        <v>1039</v>
      </c>
    </row>
    <row r="23" spans="1:4" x14ac:dyDescent="0.3">
      <c r="A23" t="s">
        <v>116</v>
      </c>
      <c r="B23" s="175">
        <v>82500</v>
      </c>
      <c r="C23">
        <v>525</v>
      </c>
    </row>
    <row r="24" spans="1:4" x14ac:dyDescent="0.3">
      <c r="A24" t="s">
        <v>173</v>
      </c>
      <c r="B24" s="175">
        <v>36340</v>
      </c>
      <c r="C24">
        <v>1020</v>
      </c>
    </row>
    <row r="25" spans="1:4" x14ac:dyDescent="0.3">
      <c r="A25" t="s">
        <v>174</v>
      </c>
      <c r="B25" s="175">
        <f>3990+16500+3200</f>
        <v>23690</v>
      </c>
      <c r="C25">
        <v>1039</v>
      </c>
    </row>
    <row r="26" spans="1:4" x14ac:dyDescent="0.3">
      <c r="B26" s="175"/>
    </row>
    <row r="27" spans="1:4" x14ac:dyDescent="0.3">
      <c r="A27" t="s">
        <v>175</v>
      </c>
      <c r="B27" t="s">
        <v>176</v>
      </c>
      <c r="C27" t="s">
        <v>177</v>
      </c>
      <c r="D27" t="s">
        <v>178</v>
      </c>
    </row>
    <row r="28" spans="1:4" x14ac:dyDescent="0.3">
      <c r="A28" s="177">
        <v>45597</v>
      </c>
      <c r="B28" s="175">
        <v>4200</v>
      </c>
      <c r="C28" s="175">
        <f>B28*12/20</f>
        <v>2520</v>
      </c>
      <c r="D28" s="175">
        <f>C28*3/12</f>
        <v>630</v>
      </c>
    </row>
    <row r="29" spans="1:4" x14ac:dyDescent="0.3">
      <c r="A29" s="177">
        <v>45627</v>
      </c>
      <c r="B29" s="175">
        <v>4200</v>
      </c>
      <c r="C29" s="175">
        <f>B29*12/20</f>
        <v>2520</v>
      </c>
      <c r="D29" s="175">
        <f>C29*3/12</f>
        <v>630</v>
      </c>
    </row>
    <row r="30" spans="1:4" x14ac:dyDescent="0.3">
      <c r="A30" s="177">
        <v>45658</v>
      </c>
      <c r="B30" s="175">
        <v>4200</v>
      </c>
      <c r="C30" s="175">
        <f>B30*12/20</f>
        <v>2520</v>
      </c>
      <c r="D30" s="175">
        <f>C30*3/12</f>
        <v>630</v>
      </c>
    </row>
    <row r="31" spans="1:4" x14ac:dyDescent="0.3">
      <c r="A31" s="177">
        <v>45689</v>
      </c>
      <c r="B31" s="175">
        <v>4200</v>
      </c>
      <c r="C31" s="175">
        <f>B31*12/20</f>
        <v>2520</v>
      </c>
      <c r="D31" s="175">
        <f>C31*3/12</f>
        <v>630</v>
      </c>
    </row>
    <row r="32" spans="1:4" x14ac:dyDescent="0.3">
      <c r="A32" s="177">
        <v>45717</v>
      </c>
      <c r="B32" s="180">
        <v>4200</v>
      </c>
      <c r="C32" s="175">
        <f>B32*12/20</f>
        <v>2520</v>
      </c>
      <c r="D32" s="180">
        <f>C32*3/12</f>
        <v>630</v>
      </c>
    </row>
    <row r="33" spans="1:4" ht="15" thickBot="1" x14ac:dyDescent="0.35">
      <c r="A33" t="s">
        <v>28</v>
      </c>
      <c r="B33" s="178">
        <f>SUM(B28:B32)</f>
        <v>21000</v>
      </c>
      <c r="C33" s="179">
        <f>SUM(C28:C32)</f>
        <v>12600</v>
      </c>
      <c r="D33" s="179">
        <f>SUM(D28:D32)</f>
        <v>3150</v>
      </c>
    </row>
    <row r="34" spans="1:4" ht="15" thickTop="1" x14ac:dyDescent="0.3">
      <c r="B34" s="175"/>
      <c r="C34" s="175"/>
      <c r="D34" s="17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1"/>
  <sheetViews>
    <sheetView topLeftCell="A37" workbookViewId="0">
      <selection activeCell="D25" sqref="D25"/>
    </sheetView>
  </sheetViews>
  <sheetFormatPr defaultColWidth="9.109375" defaultRowHeight="13.8" x14ac:dyDescent="0.25"/>
  <cols>
    <col min="1" max="1" width="42.109375" style="172" bestFit="1" customWidth="1"/>
    <col min="2" max="2" width="14.33203125" style="91" bestFit="1" customWidth="1"/>
    <col min="3" max="3" width="14.33203125" style="174" bestFit="1" customWidth="1"/>
    <col min="4" max="4" width="11.5546875" style="166" bestFit="1" customWidth="1"/>
    <col min="5" max="9" width="9.109375" style="166"/>
    <col min="10" max="10" width="11.5546875" style="166" bestFit="1" customWidth="1"/>
    <col min="11" max="16384" width="9.109375" style="166"/>
  </cols>
  <sheetData>
    <row r="1" spans="1:10" x14ac:dyDescent="0.25">
      <c r="A1" s="239" t="s">
        <v>155</v>
      </c>
      <c r="B1" s="239"/>
      <c r="C1" s="239"/>
    </row>
    <row r="2" spans="1:10" x14ac:dyDescent="0.25">
      <c r="A2" s="239" t="s">
        <v>16</v>
      </c>
      <c r="B2" s="239"/>
      <c r="C2" s="239"/>
    </row>
    <row r="3" spans="1:10" x14ac:dyDescent="0.25">
      <c r="A3" s="239" t="s">
        <v>112</v>
      </c>
      <c r="B3" s="239"/>
      <c r="C3" s="239"/>
    </row>
    <row r="4" spans="1:10" x14ac:dyDescent="0.25">
      <c r="A4" s="167"/>
      <c r="B4" s="168" t="s">
        <v>17</v>
      </c>
      <c r="C4" s="88" t="s">
        <v>18</v>
      </c>
    </row>
    <row r="5" spans="1:10" x14ac:dyDescent="0.25">
      <c r="A5" s="169" t="s">
        <v>21</v>
      </c>
      <c r="B5" s="89"/>
      <c r="C5" s="89"/>
    </row>
    <row r="6" spans="1:10" x14ac:dyDescent="0.25">
      <c r="A6" s="170" t="s">
        <v>126</v>
      </c>
      <c r="B6" s="184">
        <v>12560</v>
      </c>
      <c r="C6" s="89"/>
    </row>
    <row r="7" spans="1:10" x14ac:dyDescent="0.25">
      <c r="A7" s="170"/>
      <c r="B7" s="141"/>
      <c r="C7" s="89"/>
    </row>
    <row r="8" spans="1:10" x14ac:dyDescent="0.25">
      <c r="A8" s="169" t="s">
        <v>20</v>
      </c>
      <c r="B8" s="89"/>
      <c r="C8" s="89"/>
      <c r="J8" s="171"/>
    </row>
    <row r="9" spans="1:10" x14ac:dyDescent="0.25">
      <c r="A9" s="170" t="s">
        <v>116</v>
      </c>
      <c r="B9" s="182">
        <f>+PPE!D4</f>
        <v>153700</v>
      </c>
      <c r="C9" s="89"/>
      <c r="J9" s="171"/>
    </row>
    <row r="10" spans="1:10" x14ac:dyDescent="0.25">
      <c r="A10" s="170" t="s">
        <v>170</v>
      </c>
      <c r="B10" s="182">
        <f>+PPE!D5</f>
        <v>4600</v>
      </c>
      <c r="C10" s="89"/>
      <c r="J10" s="171"/>
    </row>
    <row r="11" spans="1:10" x14ac:dyDescent="0.25">
      <c r="A11" s="170" t="s">
        <v>172</v>
      </c>
      <c r="B11" s="182" t="e">
        <f>+PPE!#REF!</f>
        <v>#REF!</v>
      </c>
      <c r="C11" s="89"/>
    </row>
    <row r="12" spans="1:10" x14ac:dyDescent="0.25">
      <c r="A12" s="170" t="s">
        <v>116</v>
      </c>
      <c r="B12" s="182" t="e">
        <f>+PPE!#REF!</f>
        <v>#REF!</v>
      </c>
      <c r="C12" s="89"/>
    </row>
    <row r="13" spans="1:10" x14ac:dyDescent="0.25">
      <c r="A13" s="170" t="s">
        <v>173</v>
      </c>
      <c r="B13" s="182" t="e">
        <f>+PPE!#REF!</f>
        <v>#REF!</v>
      </c>
      <c r="C13" s="89"/>
    </row>
    <row r="14" spans="1:10" x14ac:dyDescent="0.25">
      <c r="A14" s="170" t="s">
        <v>174</v>
      </c>
      <c r="B14" s="182" t="e">
        <f>+PPE!#REF!</f>
        <v>#REF!</v>
      </c>
      <c r="C14" s="89"/>
    </row>
    <row r="15" spans="1:10" x14ac:dyDescent="0.25">
      <c r="A15" s="170" t="s">
        <v>128</v>
      </c>
      <c r="B15" s="89"/>
      <c r="C15" s="182">
        <f>+PPE!G6</f>
        <v>29744.164383561645</v>
      </c>
    </row>
    <row r="16" spans="1:10" x14ac:dyDescent="0.25">
      <c r="A16" s="170"/>
      <c r="B16" s="89"/>
      <c r="C16" s="89"/>
    </row>
    <row r="17" spans="1:5" x14ac:dyDescent="0.25">
      <c r="A17" s="170" t="s">
        <v>127</v>
      </c>
      <c r="B17" s="89"/>
      <c r="C17" s="182">
        <f>+B47</f>
        <v>15000</v>
      </c>
    </row>
    <row r="18" spans="1:5" x14ac:dyDescent="0.25">
      <c r="A18" s="170" t="s">
        <v>104</v>
      </c>
      <c r="B18" s="89"/>
      <c r="C18" s="182">
        <f>+B48</f>
        <v>25000</v>
      </c>
    </row>
    <row r="19" spans="1:5" x14ac:dyDescent="0.25">
      <c r="A19" s="170" t="s">
        <v>179</v>
      </c>
      <c r="B19" s="89"/>
      <c r="C19" s="182">
        <f>Working!B32</f>
        <v>4200</v>
      </c>
    </row>
    <row r="20" spans="1:5" x14ac:dyDescent="0.25">
      <c r="A20" s="170" t="s">
        <v>180</v>
      </c>
      <c r="B20" s="89"/>
      <c r="C20" s="182">
        <f>Working!D32</f>
        <v>630</v>
      </c>
      <c r="E20" s="174">
        <f>C20*20/3</f>
        <v>4200</v>
      </c>
    </row>
    <row r="21" spans="1:5" x14ac:dyDescent="0.25">
      <c r="A21" s="166"/>
      <c r="C21" s="117"/>
    </row>
    <row r="22" spans="1:5" x14ac:dyDescent="0.25">
      <c r="A22" s="170" t="s">
        <v>22</v>
      </c>
      <c r="B22" s="89"/>
      <c r="C22" s="182">
        <f>1000*6</f>
        <v>6000</v>
      </c>
    </row>
    <row r="23" spans="1:5" x14ac:dyDescent="0.25">
      <c r="A23" s="170" t="s">
        <v>190</v>
      </c>
      <c r="B23" s="89"/>
      <c r="C23" s="214">
        <v>1000000</v>
      </c>
    </row>
    <row r="24" spans="1:5" s="230" customFormat="1" x14ac:dyDescent="0.25">
      <c r="A24" s="231"/>
      <c r="B24" s="213"/>
      <c r="C24" s="219"/>
    </row>
    <row r="25" spans="1:5" s="230" customFormat="1" x14ac:dyDescent="0.25">
      <c r="A25" s="231"/>
      <c r="B25" s="213"/>
      <c r="C25" s="219"/>
    </row>
    <row r="26" spans="1:5" x14ac:dyDescent="0.25">
      <c r="A26" s="173" t="s">
        <v>191</v>
      </c>
      <c r="B26" s="193">
        <v>112919.5</v>
      </c>
      <c r="C26" s="89"/>
    </row>
    <row r="27" spans="1:5" x14ac:dyDescent="0.25">
      <c r="A27" s="170" t="s">
        <v>169</v>
      </c>
      <c r="B27" s="89"/>
      <c r="C27" s="183">
        <f>+Working!B2</f>
        <v>2328236</v>
      </c>
    </row>
    <row r="28" spans="1:5" x14ac:dyDescent="0.25">
      <c r="A28" s="169" t="s">
        <v>19</v>
      </c>
      <c r="B28" s="89"/>
      <c r="C28" s="89"/>
    </row>
    <row r="29" spans="1:5" x14ac:dyDescent="0.25">
      <c r="A29" s="170" t="s">
        <v>141</v>
      </c>
      <c r="B29" s="182">
        <f>Working!B8</f>
        <v>900750</v>
      </c>
      <c r="C29" s="89"/>
    </row>
    <row r="30" spans="1:5" x14ac:dyDescent="0.25">
      <c r="A30" s="170" t="s">
        <v>186</v>
      </c>
      <c r="B30" s="182">
        <v>1220000</v>
      </c>
      <c r="C30" s="89"/>
    </row>
    <row r="31" spans="1:5" ht="14.4" x14ac:dyDescent="0.3">
      <c r="A31" t="s">
        <v>159</v>
      </c>
      <c r="B31" s="182">
        <f>Working!B5</f>
        <v>99975</v>
      </c>
      <c r="C31" s="89"/>
    </row>
    <row r="32" spans="1:5" x14ac:dyDescent="0.25">
      <c r="A32" s="170" t="s">
        <v>182</v>
      </c>
      <c r="B32" s="182">
        <f>Working!B7</f>
        <v>11000</v>
      </c>
      <c r="C32" s="89"/>
    </row>
    <row r="33" spans="1:3" x14ac:dyDescent="0.25">
      <c r="A33" s="170" t="s">
        <v>113</v>
      </c>
      <c r="B33" s="182">
        <f>Working!B10</f>
        <v>171150</v>
      </c>
      <c r="C33" s="89"/>
    </row>
    <row r="34" spans="1:3" x14ac:dyDescent="0.25">
      <c r="A34" s="170" t="s">
        <v>179</v>
      </c>
      <c r="B34" s="182">
        <f>+Working!C33</f>
        <v>12600</v>
      </c>
      <c r="C34" s="89"/>
    </row>
    <row r="35" spans="1:3" x14ac:dyDescent="0.25">
      <c r="A35" s="170" t="s">
        <v>180</v>
      </c>
      <c r="B35" s="182">
        <f>Working!D33</f>
        <v>3150</v>
      </c>
      <c r="C35" s="89"/>
    </row>
    <row r="36" spans="1:3" x14ac:dyDescent="0.25">
      <c r="A36" s="170" t="s">
        <v>183</v>
      </c>
      <c r="B36" s="182">
        <f>Working!B11</f>
        <v>71672.5</v>
      </c>
      <c r="C36" s="89"/>
    </row>
    <row r="37" spans="1:3" x14ac:dyDescent="0.25">
      <c r="A37" s="170" t="s">
        <v>101</v>
      </c>
      <c r="B37" s="182">
        <f>Working!B14</f>
        <v>60000</v>
      </c>
      <c r="C37" s="89"/>
    </row>
    <row r="38" spans="1:3" x14ac:dyDescent="0.25">
      <c r="A38" s="170" t="s">
        <v>102</v>
      </c>
      <c r="B38" s="182">
        <f>Working!B12</f>
        <v>13070</v>
      </c>
      <c r="C38" s="89"/>
    </row>
    <row r="39" spans="1:3" x14ac:dyDescent="0.25">
      <c r="A39" s="170" t="s">
        <v>110</v>
      </c>
      <c r="B39" s="182">
        <f>Working!B13</f>
        <v>45597</v>
      </c>
      <c r="C39" s="89"/>
    </row>
    <row r="40" spans="1:3" x14ac:dyDescent="0.25">
      <c r="A40" s="170" t="s">
        <v>114</v>
      </c>
      <c r="B40" s="89"/>
      <c r="C40" s="89"/>
    </row>
    <row r="41" spans="1:3" x14ac:dyDescent="0.25">
      <c r="A41" s="170" t="s">
        <v>160</v>
      </c>
      <c r="B41" s="214">
        <v>163480</v>
      </c>
      <c r="C41" s="89"/>
    </row>
    <row r="42" spans="1:3" x14ac:dyDescent="0.25">
      <c r="A42" s="170" t="s">
        <v>167</v>
      </c>
      <c r="B42" s="182">
        <f>+Working!B15</f>
        <v>10500</v>
      </c>
      <c r="C42" s="89"/>
    </row>
    <row r="43" spans="1:3" x14ac:dyDescent="0.25">
      <c r="A43" s="170" t="s">
        <v>103</v>
      </c>
      <c r="B43" s="89"/>
      <c r="C43" s="89"/>
    </row>
    <row r="44" spans="1:3" x14ac:dyDescent="0.25">
      <c r="A44" s="170" t="s">
        <v>100</v>
      </c>
      <c r="B44" s="182">
        <f>Working!B16</f>
        <v>94812</v>
      </c>
      <c r="C44" s="89"/>
    </row>
    <row r="45" spans="1:3" x14ac:dyDescent="0.25">
      <c r="A45" s="170" t="s">
        <v>144</v>
      </c>
      <c r="B45" s="182" t="e">
        <f>'P10'!G22</f>
        <v>#REF!</v>
      </c>
      <c r="C45" s="89"/>
    </row>
    <row r="46" spans="1:3" x14ac:dyDescent="0.25">
      <c r="A46" s="170" t="s">
        <v>148</v>
      </c>
      <c r="B46" s="89"/>
      <c r="C46" s="89"/>
    </row>
    <row r="47" spans="1:3" x14ac:dyDescent="0.25">
      <c r="A47" s="170" t="s">
        <v>127</v>
      </c>
      <c r="B47" s="182">
        <v>15000</v>
      </c>
      <c r="C47" s="89"/>
    </row>
    <row r="48" spans="1:3" x14ac:dyDescent="0.25">
      <c r="A48" s="170" t="s">
        <v>104</v>
      </c>
      <c r="B48" s="182">
        <v>25000</v>
      </c>
      <c r="C48" s="89"/>
    </row>
    <row r="49" spans="1:3" ht="14.4" thickBot="1" x14ac:dyDescent="0.3">
      <c r="A49" s="167"/>
      <c r="B49" s="90" t="e">
        <f>SUM(B5:B48)</f>
        <v>#REF!</v>
      </c>
      <c r="C49" s="90">
        <f>SUM(C5:C48)</f>
        <v>3408810.1643835614</v>
      </c>
    </row>
    <row r="50" spans="1:3" ht="14.4" thickTop="1" x14ac:dyDescent="0.25"/>
    <row r="51" spans="1:3" x14ac:dyDescent="0.25">
      <c r="B51" s="91" t="e">
        <f>B49-C49</f>
        <v>#REF!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156</v>
      </c>
      <c r="B1" s="1"/>
      <c r="C1" s="1"/>
      <c r="D1" s="165" t="s">
        <v>29</v>
      </c>
    </row>
    <row r="2" spans="1:7" x14ac:dyDescent="0.35">
      <c r="A2" s="11" t="s">
        <v>31</v>
      </c>
      <c r="B2" s="1"/>
      <c r="C2" s="1"/>
      <c r="D2" s="1"/>
    </row>
    <row r="3" spans="1:7" x14ac:dyDescent="0.35">
      <c r="A3" s="11" t="s">
        <v>105</v>
      </c>
      <c r="B3" s="1"/>
      <c r="C3" s="1"/>
      <c r="D3" s="9">
        <v>2025</v>
      </c>
    </row>
    <row r="4" spans="1:7" x14ac:dyDescent="0.35">
      <c r="B4" s="3" t="s">
        <v>30</v>
      </c>
      <c r="D4" s="10" t="s">
        <v>23</v>
      </c>
    </row>
    <row r="5" spans="1:7" x14ac:dyDescent="0.35">
      <c r="C5" s="2"/>
      <c r="D5" s="2"/>
      <c r="G5" s="4"/>
    </row>
    <row r="6" spans="1:7" x14ac:dyDescent="0.35">
      <c r="A6" s="2" t="s">
        <v>69</v>
      </c>
      <c r="B6" s="3">
        <v>4</v>
      </c>
      <c r="C6" s="2"/>
      <c r="D6" s="122">
        <f>+'P09'!D8</f>
        <v>2328236</v>
      </c>
      <c r="G6" s="4"/>
    </row>
    <row r="7" spans="1:7" x14ac:dyDescent="0.35">
      <c r="B7" s="3"/>
      <c r="C7" s="2"/>
      <c r="D7" s="122"/>
    </row>
    <row r="8" spans="1:7" x14ac:dyDescent="0.35">
      <c r="A8" s="2" t="s">
        <v>12</v>
      </c>
      <c r="B8" s="3">
        <v>5</v>
      </c>
      <c r="C8" s="2"/>
      <c r="D8" s="125" t="e">
        <f>-'P09'!D26</f>
        <v>#REF!</v>
      </c>
      <c r="G8" s="5"/>
    </row>
    <row r="9" spans="1:7" x14ac:dyDescent="0.35">
      <c r="A9" s="1"/>
      <c r="B9" s="3"/>
      <c r="C9" s="2"/>
      <c r="D9" s="126"/>
    </row>
    <row r="10" spans="1:7" x14ac:dyDescent="0.35">
      <c r="A10" s="2" t="s">
        <v>35</v>
      </c>
      <c r="B10" s="3">
        <v>6</v>
      </c>
      <c r="C10" s="2"/>
      <c r="D10" s="127">
        <f>-'P09'!D30</f>
        <v>-163480</v>
      </c>
    </row>
    <row r="11" spans="1:7" x14ac:dyDescent="0.35">
      <c r="D11" s="122"/>
    </row>
    <row r="12" spans="1:7" x14ac:dyDescent="0.35">
      <c r="A12" s="12" t="s">
        <v>32</v>
      </c>
      <c r="B12" s="1"/>
      <c r="D12" s="123" t="e">
        <f>SUM(D6:D10)</f>
        <v>#REF!</v>
      </c>
    </row>
    <row r="13" spans="1:7" x14ac:dyDescent="0.35">
      <c r="D13" s="123"/>
    </row>
    <row r="14" spans="1:7" x14ac:dyDescent="0.35">
      <c r="A14" s="13" t="s">
        <v>36</v>
      </c>
      <c r="B14" s="3">
        <v>7</v>
      </c>
      <c r="D14" s="127">
        <f>-'P09'!D34</f>
        <v>0</v>
      </c>
    </row>
    <row r="15" spans="1:7" x14ac:dyDescent="0.35">
      <c r="D15" s="123"/>
    </row>
    <row r="16" spans="1:7" ht="15" thickBot="1" x14ac:dyDescent="0.4">
      <c r="A16" s="12" t="s">
        <v>204</v>
      </c>
      <c r="D16" s="128" t="e">
        <f>SUM(D12:D14)</f>
        <v>#REF!</v>
      </c>
    </row>
    <row r="17" spans="1:4" ht="15" thickTop="1" x14ac:dyDescent="0.35">
      <c r="D17" s="122"/>
    </row>
    <row r="18" spans="1:4" x14ac:dyDescent="0.35">
      <c r="A18" s="1"/>
      <c r="B18" s="1"/>
      <c r="D18" s="129"/>
    </row>
    <row r="19" spans="1:4" x14ac:dyDescent="0.35">
      <c r="D19" s="7"/>
    </row>
    <row r="22" spans="1:4" x14ac:dyDescent="0.35">
      <c r="A22" s="2" t="s">
        <v>33</v>
      </c>
    </row>
    <row r="24" spans="1:4" x14ac:dyDescent="0.35">
      <c r="A24" s="2" t="s">
        <v>34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156</v>
      </c>
      <c r="B1" s="1"/>
      <c r="C1" s="1"/>
      <c r="D1" s="1"/>
      <c r="E1" s="165" t="s">
        <v>37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134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30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57"/>
    </row>
    <row r="7" spans="1:1003" x14ac:dyDescent="0.35">
      <c r="A7" s="1" t="s">
        <v>24</v>
      </c>
      <c r="B7" s="1"/>
      <c r="E7" s="73"/>
      <c r="F7" s="156"/>
    </row>
    <row r="8" spans="1:1003" x14ac:dyDescent="0.35">
      <c r="A8" s="18" t="s">
        <v>149</v>
      </c>
      <c r="C8" s="3">
        <v>8</v>
      </c>
      <c r="D8" s="3"/>
      <c r="E8" s="125" t="e">
        <f>+'P10'!J31</f>
        <v>#REF!</v>
      </c>
      <c r="F8" s="156"/>
    </row>
    <row r="9" spans="1:1003" x14ac:dyDescent="0.35">
      <c r="E9" s="130" t="e">
        <f>SUM(E8)</f>
        <v>#REF!</v>
      </c>
      <c r="F9" s="156"/>
    </row>
    <row r="10" spans="1:1003" x14ac:dyDescent="0.35">
      <c r="E10" s="125"/>
      <c r="F10" s="156"/>
    </row>
    <row r="11" spans="1:1003" x14ac:dyDescent="0.35">
      <c r="A11" s="1" t="s">
        <v>2</v>
      </c>
      <c r="B11" s="1"/>
      <c r="E11" s="73"/>
      <c r="F11" s="10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55" t="s">
        <v>191</v>
      </c>
      <c r="B12" s="155"/>
      <c r="C12" s="237"/>
      <c r="D12" s="237"/>
      <c r="E12" s="238">
        <f>TB!B26</f>
        <v>112919.5</v>
      </c>
      <c r="F12" s="10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40</v>
      </c>
      <c r="C14" s="3"/>
      <c r="D14" s="3"/>
      <c r="E14" s="130">
        <f>SUM(E12:E13)</f>
        <v>125479.5</v>
      </c>
      <c r="F14" s="10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31" t="e">
        <f>SUM(E14+E9)</f>
        <v>#REF!</v>
      </c>
      <c r="F15" s="10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5"/>
      <c r="F16" s="156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57"/>
      <c r="E17" s="73"/>
      <c r="F17" s="156"/>
      <c r="I17" s="158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38</v>
      </c>
      <c r="B18" s="1"/>
      <c r="E18" s="73"/>
      <c r="F18" s="156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56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56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30" t="e">
        <f>SUM(E19:E20)</f>
        <v>#REF!</v>
      </c>
      <c r="F21" s="156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5"/>
      <c r="F22" s="156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41</v>
      </c>
      <c r="E23" s="125">
        <v>0</v>
      </c>
      <c r="F23" s="156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56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56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59" t="s">
        <v>109</v>
      </c>
      <c r="C26" s="3">
        <v>11</v>
      </c>
      <c r="D26" s="3"/>
      <c r="E26" s="73">
        <f>+'P11'!J24</f>
        <v>44830</v>
      </c>
      <c r="F26" s="156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59" t="s">
        <v>39</v>
      </c>
      <c r="B27" s="160"/>
      <c r="E27" s="73">
        <f>TB!C23</f>
        <v>1000000</v>
      </c>
      <c r="F27" s="156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61" t="s">
        <v>42</v>
      </c>
      <c r="E28" s="130">
        <f>SUM(E26:E27)</f>
        <v>1044830</v>
      </c>
      <c r="F28" s="156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61" t="s">
        <v>43</v>
      </c>
      <c r="E29" s="132">
        <f>E28+E23</f>
        <v>1044830</v>
      </c>
      <c r="F29" s="156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31" t="e">
        <f>+E21+E29</f>
        <v>#REF!</v>
      </c>
      <c r="F30" s="156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5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9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62" t="s">
        <v>44</v>
      </c>
      <c r="B36" s="162"/>
      <c r="C36" s="162"/>
      <c r="D36" s="162"/>
      <c r="E36" s="24"/>
      <c r="F36" s="162"/>
      <c r="G36" s="162"/>
      <c r="H36" s="16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62"/>
      <c r="B37" s="162"/>
      <c r="C37" s="162"/>
      <c r="D37" s="162"/>
      <c r="E37" s="24"/>
      <c r="F37" s="162"/>
      <c r="G37" s="162"/>
      <c r="H37" s="16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63"/>
      <c r="B38" s="163"/>
      <c r="C38" s="163"/>
      <c r="D38" s="163"/>
      <c r="E38" s="25"/>
      <c r="F38" s="163"/>
      <c r="G38" s="163"/>
      <c r="H38" s="16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45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46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62" t="s">
        <v>47</v>
      </c>
      <c r="B42" s="164"/>
      <c r="C42" s="164"/>
      <c r="D42" s="164"/>
      <c r="E42" s="26"/>
      <c r="F42" s="164"/>
      <c r="G42" s="164"/>
      <c r="H42" s="164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62" t="s">
        <v>48</v>
      </c>
      <c r="B43" s="164"/>
      <c r="C43" s="164"/>
      <c r="D43" s="164"/>
      <c r="E43" s="26"/>
      <c r="F43" s="164"/>
      <c r="G43" s="164"/>
      <c r="H43" s="164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62"/>
      <c r="B44" s="164"/>
      <c r="C44" s="164"/>
      <c r="D44" s="164"/>
      <c r="E44" s="26"/>
      <c r="F44" s="164"/>
      <c r="G44" s="164"/>
      <c r="H44" s="164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62"/>
      <c r="B45" s="164"/>
      <c r="C45" s="164"/>
      <c r="D45" s="164"/>
      <c r="E45" s="26"/>
      <c r="F45" s="164"/>
      <c r="G45" s="164"/>
      <c r="H45" s="164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49</v>
      </c>
      <c r="B47" s="18"/>
      <c r="C47" s="18"/>
      <c r="D47" s="27" t="s">
        <v>49</v>
      </c>
      <c r="F47" s="18"/>
      <c r="H47" s="18"/>
      <c r="I47" s="18"/>
    </row>
    <row r="48" spans="1:1012" x14ac:dyDescent="0.35">
      <c r="A48" s="28" t="s">
        <v>50</v>
      </c>
      <c r="B48" s="18"/>
      <c r="C48" s="18"/>
      <c r="D48" s="28" t="s">
        <v>50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202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205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3"/>
  <sheetViews>
    <sheetView topLeftCell="A13" zoomScaleNormal="100" zoomScaleSheetLayoutView="102" workbookViewId="0">
      <selection activeCell="E13" sqref="E13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65" t="s">
        <v>51</v>
      </c>
      <c r="J1" s="1"/>
    </row>
    <row r="2" spans="1:10" s="30" customFormat="1" x14ac:dyDescent="0.35">
      <c r="A2" s="1" t="s">
        <v>52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130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3" t="s">
        <v>76</v>
      </c>
      <c r="F4" s="31"/>
      <c r="G4" s="93" t="s">
        <v>77</v>
      </c>
      <c r="H4" s="31"/>
      <c r="I4" s="93" t="s">
        <v>78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75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131</v>
      </c>
      <c r="E7" s="84">
        <v>0</v>
      </c>
      <c r="F7" s="84"/>
      <c r="G7" s="84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71</v>
      </c>
      <c r="E9" s="133">
        <f>+TB!C22</f>
        <v>6000</v>
      </c>
      <c r="F9" s="133"/>
      <c r="G9" s="133">
        <v>0</v>
      </c>
      <c r="H9" s="133"/>
      <c r="I9" s="62">
        <f>+E9</f>
        <v>6000</v>
      </c>
    </row>
    <row r="10" spans="1:10" x14ac:dyDescent="0.35">
      <c r="E10" s="133"/>
      <c r="F10" s="133"/>
      <c r="G10" s="133"/>
      <c r="H10" s="133"/>
      <c r="I10" s="62"/>
    </row>
    <row r="11" spans="1:10" x14ac:dyDescent="0.35">
      <c r="A11" s="13" t="s">
        <v>192</v>
      </c>
      <c r="E11" s="62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132</v>
      </c>
      <c r="E13" s="194">
        <f>SUM(E7:E11)</f>
        <v>6000</v>
      </c>
      <c r="F13" s="210"/>
      <c r="G13" s="194" t="e">
        <f>SUM(G7:G11)</f>
        <v>#REF!</v>
      </c>
      <c r="H13" s="210"/>
      <c r="I13" s="194" t="e">
        <f>SUM(I7:I11)</f>
        <v>#REF!</v>
      </c>
    </row>
    <row r="14" spans="1:10" ht="15" thickTop="1" x14ac:dyDescent="0.35">
      <c r="E14" s="134"/>
      <c r="F14" s="134"/>
      <c r="G14" s="134"/>
      <c r="H14" s="134"/>
      <c r="I14" s="134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33</v>
      </c>
    </row>
    <row r="23" spans="1:9" x14ac:dyDescent="0.35">
      <c r="A23" s="18" t="s">
        <v>34</v>
      </c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90" customWidth="1"/>
    <col min="2" max="2" width="30.44140625" style="190" customWidth="1"/>
    <col min="3" max="3" width="16.77734375" style="190" customWidth="1"/>
    <col min="4" max="4" width="14.6640625" style="190" customWidth="1"/>
    <col min="5" max="5" width="9" style="190" customWidth="1"/>
    <col min="6" max="6" width="0.6640625" style="190" customWidth="1"/>
    <col min="7" max="7" width="13.109375" style="190" customWidth="1"/>
    <col min="8" max="8" width="12.33203125" style="190" bestFit="1" customWidth="1"/>
    <col min="9" max="9" width="14.109375" style="190" bestFit="1" customWidth="1"/>
    <col min="10" max="16384" width="8.88671875" style="190"/>
  </cols>
  <sheetData>
    <row r="1" spans="1:8" x14ac:dyDescent="0.35">
      <c r="A1" s="192" t="s">
        <v>156</v>
      </c>
      <c r="E1" s="192"/>
      <c r="F1" s="192"/>
      <c r="G1" s="233" t="s">
        <v>65</v>
      </c>
      <c r="H1" s="192"/>
    </row>
    <row r="2" spans="1:8" s="187" customFormat="1" x14ac:dyDescent="0.35">
      <c r="A2" s="192" t="s">
        <v>53</v>
      </c>
      <c r="E2" s="192"/>
      <c r="F2" s="192"/>
      <c r="G2" s="203"/>
      <c r="H2" s="192"/>
    </row>
    <row r="3" spans="1:8" x14ac:dyDescent="0.35">
      <c r="A3" s="187" t="str">
        <f>+PL!A3</f>
        <v>FOR THE YEAR PERIOD 31ST MARCH</v>
      </c>
      <c r="B3" s="192"/>
      <c r="C3" s="192"/>
      <c r="D3" s="192"/>
      <c r="E3" s="192"/>
      <c r="F3" s="192"/>
      <c r="G3" s="198">
        <v>2025</v>
      </c>
      <c r="H3" s="192"/>
    </row>
    <row r="4" spans="1:8" x14ac:dyDescent="0.35">
      <c r="G4" s="206" t="s">
        <v>11</v>
      </c>
    </row>
    <row r="5" spans="1:8" x14ac:dyDescent="0.35">
      <c r="F5" s="197"/>
    </row>
    <row r="6" spans="1:8" x14ac:dyDescent="0.35">
      <c r="A6" s="187" t="s">
        <v>54</v>
      </c>
      <c r="F6" s="197"/>
      <c r="G6" s="200"/>
    </row>
    <row r="7" spans="1:8" x14ac:dyDescent="0.35">
      <c r="A7" s="191" t="s">
        <v>55</v>
      </c>
      <c r="F7" s="215"/>
      <c r="G7" s="220" t="e">
        <f>+PL!D12</f>
        <v>#REF!</v>
      </c>
    </row>
    <row r="8" spans="1:8" x14ac:dyDescent="0.35">
      <c r="A8" s="190" t="s">
        <v>26</v>
      </c>
      <c r="F8" s="199"/>
      <c r="G8" s="221"/>
    </row>
    <row r="9" spans="1:8" x14ac:dyDescent="0.35">
      <c r="B9" s="195" t="s">
        <v>135</v>
      </c>
      <c r="C9" s="195"/>
      <c r="D9" s="195"/>
      <c r="F9" s="199"/>
      <c r="G9" s="221" t="e">
        <f>'P09'!D22</f>
        <v>#REF!</v>
      </c>
    </row>
    <row r="10" spans="1:8" x14ac:dyDescent="0.35">
      <c r="A10" s="187" t="s">
        <v>56</v>
      </c>
      <c r="F10" s="199"/>
      <c r="G10" s="222" t="e">
        <f>SUM(G7:G9)</f>
        <v>#REF!</v>
      </c>
    </row>
    <row r="11" spans="1:8" x14ac:dyDescent="0.35">
      <c r="F11" s="199"/>
      <c r="G11" s="221"/>
    </row>
    <row r="12" spans="1:8" x14ac:dyDescent="0.35">
      <c r="B12" s="195" t="s">
        <v>193</v>
      </c>
      <c r="C12" s="195"/>
      <c r="D12" s="195"/>
      <c r="F12" s="199"/>
      <c r="G12" s="221">
        <f>-BS!E12</f>
        <v>-112919.5</v>
      </c>
    </row>
    <row r="13" spans="1:8" x14ac:dyDescent="0.35">
      <c r="B13" s="195" t="s">
        <v>203</v>
      </c>
      <c r="C13" s="195"/>
      <c r="D13" s="195"/>
      <c r="F13" s="199"/>
      <c r="G13" s="221">
        <f>BS!E26</f>
        <v>44830</v>
      </c>
    </row>
    <row r="14" spans="1:8" x14ac:dyDescent="0.35">
      <c r="B14" s="195" t="s">
        <v>106</v>
      </c>
      <c r="C14" s="195"/>
      <c r="D14" s="195"/>
      <c r="F14" s="199"/>
      <c r="G14" s="221">
        <f>BS!E27</f>
        <v>1000000</v>
      </c>
    </row>
    <row r="15" spans="1:8" x14ac:dyDescent="0.35">
      <c r="A15" s="187" t="s">
        <v>57</v>
      </c>
      <c r="F15" s="199"/>
      <c r="G15" s="222" t="e">
        <f>SUM(G10:G14)</f>
        <v>#REF!</v>
      </c>
    </row>
    <row r="16" spans="1:8" x14ac:dyDescent="0.35">
      <c r="F16" s="199"/>
      <c r="G16" s="221"/>
    </row>
    <row r="17" spans="1:7" x14ac:dyDescent="0.35">
      <c r="B17" s="190" t="s">
        <v>25</v>
      </c>
      <c r="F17" s="199"/>
      <c r="G17" s="221">
        <v>0</v>
      </c>
    </row>
    <row r="18" spans="1:7" x14ac:dyDescent="0.35">
      <c r="F18" s="199"/>
      <c r="G18" s="223">
        <f>SUM(G17:G17)</f>
        <v>0</v>
      </c>
    </row>
    <row r="19" spans="1:7" x14ac:dyDescent="0.35">
      <c r="A19" s="187" t="s">
        <v>58</v>
      </c>
      <c r="E19" s="187"/>
      <c r="F19" s="199"/>
      <c r="G19" s="223" t="e">
        <f>SUM(G18+G15)</f>
        <v>#REF!</v>
      </c>
    </row>
    <row r="20" spans="1:7" x14ac:dyDescent="0.35">
      <c r="F20" s="199"/>
      <c r="G20" s="221"/>
    </row>
    <row r="21" spans="1:7" x14ac:dyDescent="0.35">
      <c r="A21" s="187" t="s">
        <v>59</v>
      </c>
      <c r="F21" s="199"/>
      <c r="G21" s="221"/>
    </row>
    <row r="22" spans="1:7" x14ac:dyDescent="0.35">
      <c r="B22" s="191" t="s">
        <v>149</v>
      </c>
      <c r="F22" s="199"/>
      <c r="G22" s="221" t="e">
        <f>-'P10'!G12</f>
        <v>#REF!</v>
      </c>
    </row>
    <row r="23" spans="1:7" x14ac:dyDescent="0.35">
      <c r="A23" s="187" t="s">
        <v>60</v>
      </c>
      <c r="E23" s="187"/>
      <c r="F23" s="199"/>
      <c r="G23" s="223" t="e">
        <f>SUM(G22)</f>
        <v>#REF!</v>
      </c>
    </row>
    <row r="24" spans="1:7" x14ac:dyDescent="0.35">
      <c r="F24" s="199"/>
      <c r="G24" s="221"/>
    </row>
    <row r="25" spans="1:7" x14ac:dyDescent="0.35">
      <c r="A25" s="187" t="s">
        <v>61</v>
      </c>
      <c r="F25" s="199"/>
      <c r="G25" s="221"/>
    </row>
    <row r="26" spans="1:7" x14ac:dyDescent="0.35">
      <c r="B26" s="190" t="s">
        <v>71</v>
      </c>
      <c r="F26" s="199"/>
      <c r="G26" s="221">
        <f>+BS!E19</f>
        <v>6000</v>
      </c>
    </row>
    <row r="27" spans="1:7" x14ac:dyDescent="0.35">
      <c r="A27" s="187" t="s">
        <v>62</v>
      </c>
      <c r="F27" s="199"/>
      <c r="G27" s="223">
        <f>SUM(G26)</f>
        <v>6000</v>
      </c>
    </row>
    <row r="28" spans="1:7" x14ac:dyDescent="0.35">
      <c r="A28" s="187" t="s">
        <v>66</v>
      </c>
      <c r="F28" s="199"/>
      <c r="G28" s="221" t="e">
        <f>+G19+G23+G27</f>
        <v>#REF!</v>
      </c>
    </row>
    <row r="29" spans="1:7" x14ac:dyDescent="0.35">
      <c r="B29" s="190" t="s">
        <v>63</v>
      </c>
      <c r="F29" s="199"/>
      <c r="G29" s="221">
        <v>0</v>
      </c>
    </row>
    <row r="30" spans="1:7" ht="15" thickBot="1" x14ac:dyDescent="0.4">
      <c r="B30" s="190" t="s">
        <v>64</v>
      </c>
      <c r="F30" s="199"/>
      <c r="G30" s="224" t="e">
        <f>SUM(G28:G29)</f>
        <v>#REF!</v>
      </c>
    </row>
    <row r="31" spans="1:7" ht="15" thickTop="1" x14ac:dyDescent="0.35">
      <c r="F31" s="199"/>
      <c r="G31" s="221"/>
    </row>
    <row r="32" spans="1:7" s="191" customFormat="1" x14ac:dyDescent="0.35">
      <c r="A32" s="188" t="s">
        <v>151</v>
      </c>
      <c r="C32" s="185"/>
      <c r="F32" s="209"/>
    </row>
    <row r="33" spans="1:9" s="191" customFormat="1" x14ac:dyDescent="0.35">
      <c r="B33" s="202" t="s">
        <v>150</v>
      </c>
      <c r="G33" s="208">
        <v>0</v>
      </c>
    </row>
    <row r="34" spans="1:9" s="191" customFormat="1" ht="15" thickBot="1" x14ac:dyDescent="0.4">
      <c r="G34" s="234">
        <f>SUM(F33:F33)</f>
        <v>0</v>
      </c>
    </row>
    <row r="35" spans="1:9" s="191" customFormat="1" ht="15" thickTop="1" x14ac:dyDescent="0.35"/>
    <row r="36" spans="1:9" s="191" customFormat="1" x14ac:dyDescent="0.35">
      <c r="A36" s="188" t="s">
        <v>152</v>
      </c>
      <c r="G36" s="209"/>
    </row>
    <row r="37" spans="1:9" s="191" customFormat="1" x14ac:dyDescent="0.35">
      <c r="B37" s="202" t="s">
        <v>150</v>
      </c>
      <c r="D37" s="201"/>
      <c r="E37" s="201"/>
      <c r="G37" s="208">
        <f>'P11'!J7</f>
        <v>12560</v>
      </c>
    </row>
    <row r="38" spans="1:9" s="191" customFormat="1" ht="15" thickBot="1" x14ac:dyDescent="0.4">
      <c r="A38" s="188"/>
      <c r="G38" s="234">
        <f>SUM(G37:G37)</f>
        <v>12560</v>
      </c>
      <c r="H38" s="204" t="e">
        <f>G30-G38</f>
        <v>#REF!</v>
      </c>
      <c r="I38" s="204"/>
    </row>
    <row r="39" spans="1:9" ht="15" thickTop="1" x14ac:dyDescent="0.35"/>
    <row r="41" spans="1:9" x14ac:dyDescent="0.35">
      <c r="A41" s="190" t="s">
        <v>33</v>
      </c>
    </row>
    <row r="43" spans="1:9" x14ac:dyDescent="0.35">
      <c r="A43" s="191" t="s">
        <v>34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156</v>
      </c>
      <c r="B1" s="34"/>
      <c r="C1" s="34"/>
      <c r="D1" s="165" t="s">
        <v>67</v>
      </c>
      <c r="E1" s="34"/>
      <c r="F1" s="38"/>
      <c r="G1" s="66"/>
    </row>
    <row r="2" spans="1:9" x14ac:dyDescent="0.35">
      <c r="A2" s="30" t="s">
        <v>79</v>
      </c>
      <c r="B2" s="35"/>
      <c r="C2" s="35"/>
      <c r="D2" s="81"/>
      <c r="E2" s="67"/>
      <c r="F2" s="38"/>
      <c r="G2" s="66"/>
    </row>
    <row r="3" spans="1:9" x14ac:dyDescent="0.35">
      <c r="A3" s="11" t="s">
        <v>187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69</v>
      </c>
      <c r="C6" s="3"/>
      <c r="E6" s="1"/>
      <c r="F6" s="51"/>
      <c r="G6" s="70"/>
    </row>
    <row r="7" spans="1:9" x14ac:dyDescent="0.35">
      <c r="A7" s="3"/>
      <c r="B7" s="2" t="s">
        <v>154</v>
      </c>
      <c r="D7" s="73">
        <f>+TB!C27</f>
        <v>2328236</v>
      </c>
      <c r="E7" s="1"/>
      <c r="F7" s="51"/>
      <c r="G7" s="70"/>
    </row>
    <row r="8" spans="1:9" ht="15" thickBot="1" x14ac:dyDescent="0.4">
      <c r="D8" s="120">
        <f>D7</f>
        <v>2328236</v>
      </c>
      <c r="F8" s="71"/>
      <c r="G8" s="72"/>
      <c r="I8" s="73"/>
    </row>
    <row r="9" spans="1:9" ht="15" thickTop="1" x14ac:dyDescent="0.35">
      <c r="D9" s="125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188</v>
      </c>
      <c r="C11" s="3"/>
      <c r="D11" s="73">
        <f>TB!B30</f>
        <v>1220000</v>
      </c>
      <c r="E11" s="1"/>
      <c r="F11" s="51"/>
      <c r="G11" s="70"/>
    </row>
    <row r="12" spans="1:9" x14ac:dyDescent="0.35">
      <c r="A12" s="3"/>
      <c r="B12" s="2" t="s">
        <v>141</v>
      </c>
      <c r="C12" s="76"/>
      <c r="D12" s="124">
        <f>TB!B29</f>
        <v>900750</v>
      </c>
      <c r="E12" s="1"/>
      <c r="F12" s="38"/>
      <c r="G12" s="70"/>
    </row>
    <row r="13" spans="1:9" x14ac:dyDescent="0.35">
      <c r="A13" s="3"/>
      <c r="B13" s="2" t="s">
        <v>185</v>
      </c>
      <c r="C13" s="76"/>
      <c r="D13" s="124">
        <f>TB!B34</f>
        <v>12600</v>
      </c>
      <c r="E13" s="1"/>
      <c r="F13" s="38"/>
      <c r="G13" s="70"/>
    </row>
    <row r="14" spans="1:9" x14ac:dyDescent="0.35">
      <c r="A14" s="3"/>
      <c r="B14" s="2" t="s">
        <v>180</v>
      </c>
      <c r="C14" s="76"/>
      <c r="D14" s="124">
        <f>TB!B35</f>
        <v>3150</v>
      </c>
      <c r="E14" s="1"/>
      <c r="F14" s="38"/>
      <c r="G14" s="70"/>
    </row>
    <row r="15" spans="1:9" x14ac:dyDescent="0.35">
      <c r="A15" s="3"/>
      <c r="B15" s="2" t="s">
        <v>153</v>
      </c>
      <c r="C15" s="76"/>
      <c r="D15" s="124">
        <f>+TB!B37</f>
        <v>60000</v>
      </c>
      <c r="E15" s="1"/>
      <c r="F15" s="38"/>
      <c r="G15" s="70"/>
    </row>
    <row r="16" spans="1:9" x14ac:dyDescent="0.35">
      <c r="A16" s="3"/>
      <c r="B16" s="2" t="s">
        <v>184</v>
      </c>
      <c r="C16" s="76"/>
      <c r="D16" s="124">
        <f>+TB!B31+TB!B32</f>
        <v>110975</v>
      </c>
      <c r="E16" s="1"/>
      <c r="F16" s="38"/>
      <c r="G16" s="70"/>
    </row>
    <row r="17" spans="1:7" x14ac:dyDescent="0.35">
      <c r="A17" s="3"/>
      <c r="B17" s="2" t="s">
        <v>110</v>
      </c>
      <c r="C17" s="76"/>
      <c r="D17" s="124">
        <f>TB!B39</f>
        <v>45597</v>
      </c>
      <c r="E17" s="1"/>
      <c r="F17" s="38"/>
      <c r="G17" s="70"/>
    </row>
    <row r="18" spans="1:7" x14ac:dyDescent="0.35">
      <c r="A18" s="3"/>
      <c r="B18" s="2" t="s">
        <v>142</v>
      </c>
      <c r="C18" s="76"/>
      <c r="D18" s="124">
        <f>TB!B38</f>
        <v>13070</v>
      </c>
      <c r="E18" s="1"/>
      <c r="F18" s="38"/>
      <c r="G18" s="70"/>
    </row>
    <row r="19" spans="1:7" x14ac:dyDescent="0.35">
      <c r="A19" s="3"/>
      <c r="B19" s="2" t="s">
        <v>143</v>
      </c>
      <c r="C19" s="76"/>
      <c r="D19" s="124">
        <f>TB!B33</f>
        <v>171150</v>
      </c>
      <c r="E19" s="1"/>
      <c r="F19" s="38"/>
      <c r="G19" s="70"/>
    </row>
    <row r="20" spans="1:7" x14ac:dyDescent="0.35">
      <c r="A20" s="3"/>
      <c r="B20" s="2" t="s">
        <v>167</v>
      </c>
      <c r="C20" s="76"/>
      <c r="D20" s="124">
        <f>TB!B42</f>
        <v>10500</v>
      </c>
      <c r="E20" s="1"/>
      <c r="F20" s="38"/>
      <c r="G20" s="70"/>
    </row>
    <row r="21" spans="1:7" x14ac:dyDescent="0.35">
      <c r="A21" s="3"/>
      <c r="B21" s="2" t="s">
        <v>189</v>
      </c>
      <c r="C21" s="76"/>
      <c r="D21" s="124">
        <f>TB!B36</f>
        <v>71672.5</v>
      </c>
      <c r="E21" s="1"/>
      <c r="F21" s="38"/>
      <c r="G21" s="70"/>
    </row>
    <row r="22" spans="1:7" x14ac:dyDescent="0.35">
      <c r="A22" s="3"/>
      <c r="B22" s="2" t="s">
        <v>144</v>
      </c>
      <c r="C22" s="76"/>
      <c r="D22" s="124" t="e">
        <f>TB!B45</f>
        <v>#REF!</v>
      </c>
      <c r="E22" s="1"/>
      <c r="F22" s="38"/>
      <c r="G22" s="70"/>
    </row>
    <row r="23" spans="1:7" x14ac:dyDescent="0.35">
      <c r="A23" s="3"/>
      <c r="B23" s="2" t="s">
        <v>100</v>
      </c>
      <c r="C23" s="76"/>
      <c r="D23" s="124">
        <f>TB!B44</f>
        <v>94812</v>
      </c>
      <c r="E23" s="1"/>
      <c r="F23" s="38"/>
      <c r="G23" s="70"/>
    </row>
    <row r="24" spans="1:7" x14ac:dyDescent="0.35">
      <c r="A24" s="3"/>
      <c r="B24" s="2" t="s">
        <v>145</v>
      </c>
      <c r="C24" s="76"/>
      <c r="D24" s="124">
        <f>+TB!B47</f>
        <v>15000</v>
      </c>
      <c r="E24" s="1"/>
      <c r="F24" s="38"/>
      <c r="G24" s="70"/>
    </row>
    <row r="25" spans="1:7" x14ac:dyDescent="0.35">
      <c r="A25" s="3"/>
      <c r="B25" s="2" t="s">
        <v>104</v>
      </c>
      <c r="C25" s="76"/>
      <c r="D25" s="124">
        <f>+TB!B48</f>
        <v>25000</v>
      </c>
      <c r="E25" s="1"/>
      <c r="F25" s="38"/>
      <c r="G25" s="70"/>
    </row>
    <row r="26" spans="1:7" ht="15" thickBot="1" x14ac:dyDescent="0.4">
      <c r="D26" s="120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4"/>
      <c r="F27" s="38"/>
      <c r="G27" s="66"/>
    </row>
    <row r="28" spans="1:7" x14ac:dyDescent="0.35">
      <c r="A28" s="3">
        <v>6</v>
      </c>
      <c r="B28" s="1" t="s">
        <v>35</v>
      </c>
      <c r="C28" s="3"/>
      <c r="D28" s="2"/>
    </row>
    <row r="29" spans="1:7" x14ac:dyDescent="0.35">
      <c r="B29" s="2" t="s">
        <v>160</v>
      </c>
      <c r="C29" s="3"/>
      <c r="D29" s="125">
        <f>+TB!B41</f>
        <v>163480</v>
      </c>
    </row>
    <row r="30" spans="1:7" ht="15" thickBot="1" x14ac:dyDescent="0.4">
      <c r="B30" s="1"/>
      <c r="C30" s="3"/>
      <c r="D30" s="120">
        <f>SUM(D29)</f>
        <v>163480</v>
      </c>
    </row>
    <row r="31" spans="1:7" ht="15" thickTop="1" x14ac:dyDescent="0.35">
      <c r="B31" s="1"/>
      <c r="C31" s="3"/>
      <c r="D31" s="125"/>
    </row>
    <row r="32" spans="1:7" x14ac:dyDescent="0.35">
      <c r="A32" s="9">
        <v>7</v>
      </c>
      <c r="B32" s="30" t="s">
        <v>36</v>
      </c>
    </row>
    <row r="33" spans="1:4" x14ac:dyDescent="0.35">
      <c r="A33" s="65"/>
      <c r="B33" s="13" t="s">
        <v>107</v>
      </c>
      <c r="D33" s="119">
        <f>TB!B46</f>
        <v>0</v>
      </c>
    </row>
    <row r="34" spans="1:4" ht="15" thickBot="1" x14ac:dyDescent="0.4">
      <c r="D34" s="121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68</v>
      </c>
    </row>
    <row r="2" spans="1:13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5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5" t="s">
        <v>149</v>
      </c>
      <c r="C4" s="37"/>
      <c r="D4" s="37"/>
    </row>
    <row r="5" spans="1:13" ht="28.8" x14ac:dyDescent="0.35">
      <c r="A5" s="36"/>
      <c r="B5" s="99" t="s">
        <v>27</v>
      </c>
      <c r="C5" s="37"/>
      <c r="D5" s="37"/>
      <c r="E5" s="39" t="s">
        <v>117</v>
      </c>
      <c r="F5" s="39"/>
      <c r="G5" s="40" t="s">
        <v>13</v>
      </c>
      <c r="H5" s="41" t="s">
        <v>14</v>
      </c>
      <c r="I5" s="42"/>
      <c r="J5" s="43" t="s">
        <v>118</v>
      </c>
    </row>
    <row r="6" spans="1:13" x14ac:dyDescent="0.35">
      <c r="A6" s="36"/>
      <c r="B6" s="44" t="str">
        <f>+TB!A9</f>
        <v>Furniture &amp; Fittings</v>
      </c>
      <c r="C6" s="44"/>
      <c r="D6" s="44"/>
      <c r="E6" s="135">
        <v>0</v>
      </c>
      <c r="F6" s="135"/>
      <c r="G6" s="135">
        <f>TB!B9</f>
        <v>153700</v>
      </c>
      <c r="H6" s="122"/>
      <c r="I6" s="123"/>
      <c r="J6" s="122">
        <f>SUM(E6:G6)</f>
        <v>153700</v>
      </c>
    </row>
    <row r="7" spans="1:13" x14ac:dyDescent="0.35">
      <c r="A7" s="36"/>
      <c r="B7" s="44" t="str">
        <f>+TB!A10</f>
        <v>Office Equipment</v>
      </c>
      <c r="C7" s="44"/>
      <c r="D7" s="44"/>
      <c r="E7" s="135">
        <v>0</v>
      </c>
      <c r="F7" s="135"/>
      <c r="G7" s="135">
        <f>TB!B10</f>
        <v>4600</v>
      </c>
      <c r="H7" s="122"/>
      <c r="I7" s="123"/>
      <c r="J7" s="122">
        <f t="shared" ref="J7:J11" si="0">SUM(E7:G7)</f>
        <v>4600</v>
      </c>
    </row>
    <row r="8" spans="1:13" x14ac:dyDescent="0.35">
      <c r="A8" s="36"/>
      <c r="B8" s="44" t="str">
        <f>+TB!A11</f>
        <v>Computer &amp; Printers</v>
      </c>
      <c r="C8" s="44"/>
      <c r="D8" s="44"/>
      <c r="E8" s="135">
        <v>0</v>
      </c>
      <c r="F8" s="135"/>
      <c r="G8" s="135" t="e">
        <f>TB!B11</f>
        <v>#REF!</v>
      </c>
      <c r="H8" s="122"/>
      <c r="I8" s="123"/>
      <c r="J8" s="122" t="e">
        <f t="shared" si="0"/>
        <v>#REF!</v>
      </c>
    </row>
    <row r="9" spans="1:13" x14ac:dyDescent="0.35">
      <c r="A9" s="36"/>
      <c r="B9" s="44" t="str">
        <f>+TB!A12</f>
        <v>Furniture &amp; Fittings</v>
      </c>
      <c r="C9" s="44"/>
      <c r="D9" s="44"/>
      <c r="E9" s="135">
        <v>0</v>
      </c>
      <c r="F9" s="135"/>
      <c r="G9" s="135" t="e">
        <f>TB!B12</f>
        <v>#REF!</v>
      </c>
      <c r="H9" s="122"/>
      <c r="I9" s="123"/>
      <c r="J9" s="122" t="e">
        <f t="shared" si="0"/>
        <v>#REF!</v>
      </c>
    </row>
    <row r="10" spans="1:13" x14ac:dyDescent="0.35">
      <c r="A10" s="36"/>
      <c r="B10" s="44" t="str">
        <f>+TB!A13</f>
        <v>Telephone</v>
      </c>
      <c r="C10" s="44"/>
      <c r="D10" s="44"/>
      <c r="E10" s="135">
        <v>0</v>
      </c>
      <c r="F10" s="135"/>
      <c r="G10" s="135" t="e">
        <f>TB!B13</f>
        <v>#REF!</v>
      </c>
      <c r="H10" s="122"/>
      <c r="I10" s="123"/>
      <c r="J10" s="122" t="e">
        <f t="shared" si="0"/>
        <v>#REF!</v>
      </c>
    </row>
    <row r="11" spans="1:13" x14ac:dyDescent="0.35">
      <c r="A11" s="36"/>
      <c r="B11" s="44" t="str">
        <f>+TB!A14</f>
        <v>CCTV Camera</v>
      </c>
      <c r="C11" s="44"/>
      <c r="D11" s="44"/>
      <c r="E11" s="135">
        <v>0</v>
      </c>
      <c r="F11" s="135"/>
      <c r="G11" s="135" t="e">
        <f>TB!B14</f>
        <v>#REF!</v>
      </c>
      <c r="H11" s="122"/>
      <c r="I11" s="123"/>
      <c r="J11" s="122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6">
        <f>SUM(E6:E11)</f>
        <v>0</v>
      </c>
      <c r="F12" s="135"/>
      <c r="G12" s="136" t="e">
        <f>SUM(G6:G11)</f>
        <v>#REF!</v>
      </c>
      <c r="H12" s="122"/>
      <c r="I12" s="123"/>
      <c r="J12" s="136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119</v>
      </c>
      <c r="C15" s="37"/>
      <c r="D15" s="37"/>
      <c r="E15" s="39" t="s">
        <v>117</v>
      </c>
      <c r="F15" s="39"/>
      <c r="G15" s="39" t="s">
        <v>15</v>
      </c>
      <c r="H15" s="41" t="s">
        <v>14</v>
      </c>
      <c r="I15" s="42"/>
      <c r="J15" s="43" t="s">
        <v>118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5">
        <v>0</v>
      </c>
      <c r="F16" s="135"/>
      <c r="G16" s="122">
        <f>PPE!G4</f>
        <v>28887.178082191782</v>
      </c>
      <c r="H16" s="122"/>
      <c r="I16" s="123"/>
      <c r="J16" s="149">
        <f>SUM(E16:G16)</f>
        <v>28887.178082191782</v>
      </c>
    </row>
    <row r="17" spans="1:10" x14ac:dyDescent="0.35">
      <c r="A17" s="50"/>
      <c r="B17" s="44" t="str">
        <f t="shared" si="1"/>
        <v>Office Equipment</v>
      </c>
      <c r="C17" s="44"/>
      <c r="D17" s="44"/>
      <c r="E17" s="135">
        <v>0</v>
      </c>
      <c r="F17" s="135"/>
      <c r="G17" s="122">
        <f>PPE!G5</f>
        <v>856.98630136986299</v>
      </c>
      <c r="H17" s="122"/>
      <c r="I17" s="123"/>
      <c r="J17" s="149">
        <f t="shared" ref="J17:J21" si="2">SUM(E17:G17)</f>
        <v>856.98630136986299</v>
      </c>
    </row>
    <row r="18" spans="1:10" x14ac:dyDescent="0.35">
      <c r="A18" s="50"/>
      <c r="B18" s="44" t="str">
        <f t="shared" si="1"/>
        <v>Computer &amp; Printers</v>
      </c>
      <c r="C18" s="44"/>
      <c r="D18" s="44"/>
      <c r="E18" s="135">
        <v>0</v>
      </c>
      <c r="F18" s="135"/>
      <c r="G18" s="122" t="e">
        <f>PPE!#REF!</f>
        <v>#REF!</v>
      </c>
      <c r="H18" s="122"/>
      <c r="I18" s="123"/>
      <c r="J18" s="149" t="e">
        <f t="shared" si="2"/>
        <v>#REF!</v>
      </c>
    </row>
    <row r="19" spans="1:10" x14ac:dyDescent="0.35">
      <c r="A19" s="50"/>
      <c r="B19" s="44" t="str">
        <f t="shared" si="1"/>
        <v>Furniture &amp; Fittings</v>
      </c>
      <c r="C19" s="44"/>
      <c r="D19" s="44"/>
      <c r="E19" s="135">
        <v>0</v>
      </c>
      <c r="F19" s="135"/>
      <c r="G19" s="122" t="e">
        <f>PPE!#REF!</f>
        <v>#REF!</v>
      </c>
      <c r="H19" s="122"/>
      <c r="I19" s="123"/>
      <c r="J19" s="149" t="e">
        <f t="shared" si="2"/>
        <v>#REF!</v>
      </c>
    </row>
    <row r="20" spans="1:10" x14ac:dyDescent="0.35">
      <c r="A20" s="50"/>
      <c r="B20" s="44" t="str">
        <f t="shared" si="1"/>
        <v>Telephone</v>
      </c>
      <c r="C20" s="44"/>
      <c r="D20" s="44"/>
      <c r="E20" s="135">
        <v>0</v>
      </c>
      <c r="F20" s="135"/>
      <c r="G20" s="122" t="e">
        <f>PPE!#REF!</f>
        <v>#REF!</v>
      </c>
      <c r="H20" s="122"/>
      <c r="I20" s="123"/>
      <c r="J20" s="149" t="e">
        <f t="shared" si="2"/>
        <v>#REF!</v>
      </c>
    </row>
    <row r="21" spans="1:10" x14ac:dyDescent="0.35">
      <c r="A21" s="50"/>
      <c r="B21" s="44" t="str">
        <f t="shared" si="1"/>
        <v>CCTV Camera</v>
      </c>
      <c r="C21" s="44"/>
      <c r="D21" s="44"/>
      <c r="E21" s="135">
        <v>0</v>
      </c>
      <c r="F21" s="135"/>
      <c r="G21" s="122" t="e">
        <f>PPE!#REF!</f>
        <v>#REF!</v>
      </c>
      <c r="H21" s="122"/>
      <c r="I21" s="123"/>
      <c r="J21" s="149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6">
        <f>SUM(E16:E21)</f>
        <v>0</v>
      </c>
      <c r="F22" s="135"/>
      <c r="G22" s="196" t="e">
        <f>SUM(G16:G21)</f>
        <v>#REF!</v>
      </c>
      <c r="H22" s="122"/>
      <c r="I22" s="123"/>
      <c r="J22" s="136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9" t="s">
        <v>81</v>
      </c>
      <c r="J24" s="93" t="s">
        <v>140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str">
        <f t="shared" si="3"/>
        <v>Office Equipment</v>
      </c>
      <c r="J26" s="74">
        <f t="shared" si="4"/>
        <v>3743.0136986301368</v>
      </c>
    </row>
    <row r="27" spans="1:10" x14ac:dyDescent="0.35">
      <c r="A27" s="2"/>
      <c r="B27" s="44" t="str">
        <f t="shared" si="3"/>
        <v>Computer &amp; Printers</v>
      </c>
      <c r="J27" s="74" t="e">
        <f t="shared" si="4"/>
        <v>#REF!</v>
      </c>
    </row>
    <row r="28" spans="1:10" x14ac:dyDescent="0.35">
      <c r="A28" s="2"/>
      <c r="B28" s="44" t="str">
        <f t="shared" si="3"/>
        <v>Furniture &amp; Fittings</v>
      </c>
      <c r="J28" s="74" t="e">
        <f t="shared" si="4"/>
        <v>#REF!</v>
      </c>
    </row>
    <row r="29" spans="1:10" x14ac:dyDescent="0.35">
      <c r="A29" s="2"/>
      <c r="B29" s="44" t="str">
        <f t="shared" si="3"/>
        <v>Telephone</v>
      </c>
      <c r="J29" s="74" t="e">
        <f t="shared" si="4"/>
        <v>#REF!</v>
      </c>
    </row>
    <row r="30" spans="1:10" x14ac:dyDescent="0.35">
      <c r="A30" s="2"/>
      <c r="B30" s="44" t="str">
        <f t="shared" si="3"/>
        <v>CCTV Camera</v>
      </c>
      <c r="J30" s="74" t="e">
        <f t="shared" si="4"/>
        <v>#REF!</v>
      </c>
    </row>
    <row r="31" spans="1:10" ht="15" thickBot="1" x14ac:dyDescent="0.4">
      <c r="A31" s="2"/>
      <c r="J31" s="150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156</v>
      </c>
      <c r="B1" s="1"/>
      <c r="C1" s="1"/>
      <c r="D1" s="1"/>
      <c r="E1" s="1"/>
      <c r="F1" s="1"/>
      <c r="G1" s="1"/>
      <c r="H1" s="1"/>
      <c r="I1" s="1"/>
      <c r="J1" s="165" t="s">
        <v>108</v>
      </c>
    </row>
    <row r="2" spans="1:10" x14ac:dyDescent="0.35">
      <c r="A2" s="79" t="s">
        <v>70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4" t="s">
        <v>80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129</v>
      </c>
      <c r="C7" s="56"/>
      <c r="D7" s="56"/>
      <c r="H7" s="51"/>
      <c r="I7" s="51"/>
      <c r="J7" s="122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7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73</v>
      </c>
    </row>
    <row r="12" spans="1:10" x14ac:dyDescent="0.35">
      <c r="A12" s="57"/>
      <c r="B12" s="53" t="s">
        <v>72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74</v>
      </c>
      <c r="C16" s="53"/>
      <c r="D16" s="53"/>
      <c r="H16" s="17"/>
      <c r="I16" s="17"/>
      <c r="J16" s="138">
        <f>+TB!C22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7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109</v>
      </c>
      <c r="C19" s="58"/>
      <c r="D19" s="58"/>
      <c r="H19" s="38"/>
      <c r="I19" s="17"/>
      <c r="J19" s="59"/>
    </row>
    <row r="20" spans="1:10" x14ac:dyDescent="0.35">
      <c r="A20" s="3"/>
      <c r="B20" s="118" t="s">
        <v>179</v>
      </c>
      <c r="C20" s="58"/>
      <c r="D20" s="58"/>
      <c r="H20" s="38"/>
      <c r="I20" s="17"/>
      <c r="J20" s="139">
        <f>TB!C19</f>
        <v>4200</v>
      </c>
    </row>
    <row r="21" spans="1:10" x14ac:dyDescent="0.35">
      <c r="A21" s="3"/>
      <c r="B21" s="118" t="s">
        <v>180</v>
      </c>
      <c r="C21" s="58"/>
      <c r="D21" s="58"/>
      <c r="H21" s="38"/>
      <c r="I21" s="17"/>
      <c r="J21" s="139">
        <f>TB!C20</f>
        <v>630</v>
      </c>
    </row>
    <row r="22" spans="1:10" x14ac:dyDescent="0.35">
      <c r="A22" s="3"/>
      <c r="B22" s="118" t="s">
        <v>145</v>
      </c>
      <c r="C22" s="58"/>
      <c r="D22" s="58"/>
      <c r="H22" s="38"/>
      <c r="I22" s="17"/>
      <c r="J22" s="139">
        <f>+TB!C17</f>
        <v>15000</v>
      </c>
    </row>
    <row r="23" spans="1:10" x14ac:dyDescent="0.35">
      <c r="A23" s="3"/>
      <c r="B23" s="118" t="s">
        <v>104</v>
      </c>
      <c r="C23" s="58"/>
      <c r="D23" s="58"/>
      <c r="H23" s="38"/>
      <c r="I23" s="17"/>
      <c r="J23" s="139">
        <f>+TB!C18</f>
        <v>25000</v>
      </c>
    </row>
    <row r="24" spans="1:10" ht="15" thickBot="1" x14ac:dyDescent="0.4">
      <c r="A24" s="57"/>
      <c r="H24" s="17"/>
      <c r="I24" s="17"/>
      <c r="J24" s="137">
        <f>SUM(J20:J23)</f>
        <v>44830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156</v>
      </c>
      <c r="B1" s="30"/>
      <c r="F1" s="96"/>
      <c r="G1" s="97"/>
      <c r="H1" s="165" t="s">
        <v>82</v>
      </c>
    </row>
    <row r="2" spans="1:8" x14ac:dyDescent="0.35">
      <c r="A2" s="30" t="s">
        <v>83</v>
      </c>
      <c r="B2" s="30"/>
    </row>
    <row r="3" spans="1:8" x14ac:dyDescent="0.35">
      <c r="A3" s="30" t="s">
        <v>133</v>
      </c>
      <c r="B3" s="30"/>
    </row>
    <row r="4" spans="1:8" x14ac:dyDescent="0.35">
      <c r="A4" s="30" t="s">
        <v>157</v>
      </c>
    </row>
    <row r="5" spans="1:8" x14ac:dyDescent="0.35">
      <c r="A5" s="98"/>
      <c r="B5" s="98"/>
      <c r="D5" s="99"/>
      <c r="E5" s="99"/>
      <c r="H5" s="99" t="s">
        <v>11</v>
      </c>
    </row>
    <row r="6" spans="1:8" x14ac:dyDescent="0.35">
      <c r="A6" s="63" t="s">
        <v>84</v>
      </c>
      <c r="E6" s="21"/>
      <c r="H6" s="21" t="e">
        <f>+PL!D12</f>
        <v>#REF!</v>
      </c>
    </row>
    <row r="7" spans="1:8" x14ac:dyDescent="0.35">
      <c r="A7" s="100"/>
      <c r="E7" s="21"/>
      <c r="H7" s="21"/>
    </row>
    <row r="8" spans="1:8" x14ac:dyDescent="0.35">
      <c r="A8" s="64" t="s">
        <v>85</v>
      </c>
      <c r="E8" s="21"/>
      <c r="H8" s="101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86</v>
      </c>
      <c r="B10" s="30"/>
      <c r="E10" s="21"/>
      <c r="H10" s="21"/>
    </row>
    <row r="11" spans="1:8" x14ac:dyDescent="0.35">
      <c r="A11" s="13" t="s">
        <v>135</v>
      </c>
      <c r="D11" s="102"/>
      <c r="F11" s="216" t="e">
        <f>'P10'!G22</f>
        <v>#REF!</v>
      </c>
      <c r="H11" s="232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136</v>
      </c>
      <c r="B13" s="30"/>
      <c r="E13" s="21"/>
      <c r="H13" s="21"/>
    </row>
    <row r="14" spans="1:8" x14ac:dyDescent="0.35">
      <c r="A14" s="13" t="s">
        <v>87</v>
      </c>
      <c r="F14" s="65" t="s">
        <v>146</v>
      </c>
      <c r="H14" s="101" t="e">
        <f>-E42</f>
        <v>#REF!</v>
      </c>
    </row>
    <row r="15" spans="1:8" x14ac:dyDescent="0.35">
      <c r="A15" s="13" t="s">
        <v>88</v>
      </c>
      <c r="E15" s="21"/>
      <c r="H15" s="103" t="e">
        <f>SUM(H12:H14)</f>
        <v>#REF!</v>
      </c>
    </row>
    <row r="16" spans="1:8" x14ac:dyDescent="0.35">
      <c r="E16" s="104"/>
      <c r="H16" s="104"/>
    </row>
    <row r="17" spans="1:11" x14ac:dyDescent="0.35">
      <c r="A17" s="13" t="s">
        <v>89</v>
      </c>
      <c r="E17" s="104"/>
      <c r="H17" s="140" t="s">
        <v>194</v>
      </c>
    </row>
    <row r="18" spans="1:11" x14ac:dyDescent="0.35">
      <c r="E18" s="104"/>
      <c r="H18" s="104"/>
    </row>
    <row r="19" spans="1:11" hidden="1" x14ac:dyDescent="0.35">
      <c r="A19" s="105" t="s">
        <v>90</v>
      </c>
      <c r="E19" s="106" t="s">
        <v>91</v>
      </c>
      <c r="F19" s="32" t="str">
        <f>+H17</f>
        <v>Loss</v>
      </c>
      <c r="H19" s="104" t="e">
        <f>F19*0.3</f>
        <v>#VALUE!</v>
      </c>
    </row>
    <row r="20" spans="1:11" hidden="1" x14ac:dyDescent="0.35">
      <c r="E20" s="104"/>
      <c r="H20" s="104"/>
    </row>
    <row r="21" spans="1:11" hidden="1" x14ac:dyDescent="0.35">
      <c r="A21" s="107" t="s">
        <v>92</v>
      </c>
      <c r="E21" s="104"/>
      <c r="H21" s="104"/>
    </row>
    <row r="22" spans="1:11" hidden="1" x14ac:dyDescent="0.35">
      <c r="A22" s="13" t="s">
        <v>147</v>
      </c>
      <c r="E22" s="65">
        <v>24252</v>
      </c>
      <c r="F22" s="109">
        <v>0</v>
      </c>
      <c r="G22" s="108"/>
      <c r="H22" s="109">
        <f>-SUM(F22:F22)</f>
        <v>0</v>
      </c>
    </row>
    <row r="23" spans="1:11" ht="3.75" hidden="1" customHeight="1" x14ac:dyDescent="0.35">
      <c r="D23" s="65"/>
      <c r="E23" s="104"/>
      <c r="F23" s="104"/>
      <c r="G23" s="108"/>
      <c r="H23" s="104"/>
    </row>
    <row r="24" spans="1:11" ht="15" hidden="1" thickBot="1" x14ac:dyDescent="0.4">
      <c r="A24" s="30" t="s">
        <v>93</v>
      </c>
      <c r="E24" s="104"/>
      <c r="H24" s="110" t="e">
        <f>SUM(H19:H22)</f>
        <v>#VALUE!</v>
      </c>
      <c r="K24" s="29"/>
    </row>
    <row r="25" spans="1:11" ht="15" hidden="1" thickTop="1" x14ac:dyDescent="0.35">
      <c r="E25" s="104"/>
      <c r="H25" s="104"/>
    </row>
    <row r="26" spans="1:11" hidden="1" x14ac:dyDescent="0.35">
      <c r="E26" s="104"/>
      <c r="H26" s="104"/>
    </row>
    <row r="27" spans="1:11" x14ac:dyDescent="0.35">
      <c r="A27" s="63" t="s">
        <v>94</v>
      </c>
      <c r="B27" s="18"/>
      <c r="C27" s="18"/>
      <c r="D27" s="18"/>
      <c r="E27" s="104"/>
      <c r="F27" s="18"/>
      <c r="G27" s="18"/>
      <c r="H27" s="18"/>
    </row>
    <row r="28" spans="1:11" ht="7.2" customHeight="1" x14ac:dyDescent="0.35">
      <c r="E28" s="104"/>
      <c r="H28" s="104"/>
    </row>
    <row r="29" spans="1:11" x14ac:dyDescent="0.35">
      <c r="A29" s="87" t="s">
        <v>95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11" t="s">
        <v>96</v>
      </c>
      <c r="B31" s="112" t="s">
        <v>27</v>
      </c>
      <c r="C31" s="99" t="s">
        <v>97</v>
      </c>
      <c r="D31" s="113" t="s">
        <v>137</v>
      </c>
      <c r="E31" s="93" t="s">
        <v>98</v>
      </c>
      <c r="F31" s="93" t="s">
        <v>138</v>
      </c>
      <c r="G31" s="93"/>
      <c r="H31" s="99" t="s">
        <v>99</v>
      </c>
    </row>
    <row r="32" spans="1:11" ht="4.8" customHeight="1" x14ac:dyDescent="0.35">
      <c r="A32" s="111"/>
      <c r="B32" s="112"/>
      <c r="C32" s="65"/>
      <c r="D32" s="114"/>
      <c r="E32" s="114"/>
      <c r="F32" s="114"/>
      <c r="G32" s="114"/>
      <c r="H32" s="65"/>
    </row>
    <row r="33" spans="1:8" x14ac:dyDescent="0.35">
      <c r="A33" s="111" t="s">
        <v>139</v>
      </c>
      <c r="B33" s="112"/>
      <c r="C33" s="65"/>
      <c r="D33" s="114"/>
      <c r="E33" s="114"/>
      <c r="F33" s="114"/>
      <c r="G33" s="114"/>
      <c r="H33" s="65"/>
    </row>
    <row r="34" spans="1:8" ht="5.4" customHeight="1" x14ac:dyDescent="0.35">
      <c r="A34" s="111"/>
      <c r="B34" s="112"/>
      <c r="C34" s="65"/>
      <c r="D34" s="114"/>
      <c r="E34" s="114"/>
      <c r="F34" s="114"/>
      <c r="G34" s="114"/>
      <c r="H34" s="65"/>
    </row>
    <row r="35" spans="1:8" x14ac:dyDescent="0.35">
      <c r="A35" s="111" t="str">
        <f>+'P10'!B6</f>
        <v>Furniture &amp; Fittings</v>
      </c>
      <c r="B35" s="189">
        <f>+'P10'!G6</f>
        <v>153700</v>
      </c>
      <c r="C35" s="65">
        <v>5</v>
      </c>
      <c r="D35" s="152">
        <v>0</v>
      </c>
      <c r="E35" s="151">
        <f>B35/C35</f>
        <v>30740</v>
      </c>
      <c r="F35" s="151">
        <f>D35+E35</f>
        <v>30740</v>
      </c>
      <c r="G35" s="114"/>
      <c r="H35" s="154">
        <f>B35-F35</f>
        <v>122960</v>
      </c>
    </row>
    <row r="36" spans="1:8" x14ac:dyDescent="0.35">
      <c r="A36" s="217" t="str">
        <f>+'P10'!B7</f>
        <v>Office Equipment</v>
      </c>
      <c r="B36" s="189">
        <f>+'P10'!G7</f>
        <v>4600</v>
      </c>
      <c r="C36" s="65">
        <v>5</v>
      </c>
      <c r="D36" s="227">
        <v>0</v>
      </c>
      <c r="E36" s="225">
        <f t="shared" ref="E36:E40" si="0">B36/C36</f>
        <v>920</v>
      </c>
      <c r="F36" s="225">
        <f t="shared" ref="F36:F40" si="1">D36+E36</f>
        <v>920</v>
      </c>
      <c r="G36" s="114"/>
      <c r="H36" s="229">
        <f t="shared" ref="H36:H40" si="2">B36-F36</f>
        <v>3680</v>
      </c>
    </row>
    <row r="37" spans="1:8" x14ac:dyDescent="0.35">
      <c r="A37" s="217" t="str">
        <f>+'P10'!B8</f>
        <v>Computer &amp; Printers</v>
      </c>
      <c r="B37" s="189" t="e">
        <f>+'P10'!G8</f>
        <v>#REF!</v>
      </c>
      <c r="C37" s="65">
        <v>5</v>
      </c>
      <c r="D37" s="227">
        <v>0</v>
      </c>
      <c r="E37" s="225" t="e">
        <f t="shared" si="0"/>
        <v>#REF!</v>
      </c>
      <c r="F37" s="225" t="e">
        <f t="shared" si="1"/>
        <v>#REF!</v>
      </c>
      <c r="G37" s="114"/>
      <c r="H37" s="229" t="e">
        <f t="shared" si="2"/>
        <v>#REF!</v>
      </c>
    </row>
    <row r="38" spans="1:8" s="205" customFormat="1" x14ac:dyDescent="0.35">
      <c r="A38" s="217" t="str">
        <f>+'P10'!B9</f>
        <v>Furniture &amp; Fittings</v>
      </c>
      <c r="B38" s="189" t="e">
        <f>+'P10'!G9</f>
        <v>#REF!</v>
      </c>
      <c r="C38" s="211">
        <v>5</v>
      </c>
      <c r="D38" s="227">
        <v>0</v>
      </c>
      <c r="E38" s="225" t="e">
        <f t="shared" si="0"/>
        <v>#REF!</v>
      </c>
      <c r="F38" s="225" t="e">
        <f t="shared" si="1"/>
        <v>#REF!</v>
      </c>
      <c r="G38" s="218"/>
      <c r="H38" s="229" t="e">
        <f t="shared" si="2"/>
        <v>#REF!</v>
      </c>
    </row>
    <row r="39" spans="1:8" s="205" customFormat="1" x14ac:dyDescent="0.35">
      <c r="A39" s="217" t="str">
        <f>+'P10'!B10</f>
        <v>Telephone</v>
      </c>
      <c r="B39" s="189" t="e">
        <f>+'P10'!G10</f>
        <v>#REF!</v>
      </c>
      <c r="C39" s="211">
        <v>5</v>
      </c>
      <c r="D39" s="227">
        <v>0</v>
      </c>
      <c r="E39" s="225" t="e">
        <f t="shared" si="0"/>
        <v>#REF!</v>
      </c>
      <c r="F39" s="225" t="e">
        <f t="shared" si="1"/>
        <v>#REF!</v>
      </c>
      <c r="G39" s="218"/>
      <c r="H39" s="229" t="e">
        <f t="shared" si="2"/>
        <v>#REF!</v>
      </c>
    </row>
    <row r="40" spans="1:8" s="205" customFormat="1" x14ac:dyDescent="0.35">
      <c r="A40" s="217" t="str">
        <f>+'P10'!B11</f>
        <v>CCTV Camera</v>
      </c>
      <c r="B40" s="189" t="e">
        <f>+'P10'!G11</f>
        <v>#REF!</v>
      </c>
      <c r="C40" s="211">
        <v>5</v>
      </c>
      <c r="D40" s="227">
        <v>0</v>
      </c>
      <c r="E40" s="225" t="e">
        <f t="shared" si="0"/>
        <v>#REF!</v>
      </c>
      <c r="F40" s="225" t="e">
        <f t="shared" si="1"/>
        <v>#REF!</v>
      </c>
      <c r="G40" s="218"/>
      <c r="H40" s="229" t="e">
        <f t="shared" si="2"/>
        <v>#REF!</v>
      </c>
    </row>
    <row r="41" spans="1:8" s="205" customFormat="1" ht="4.8" customHeight="1" x14ac:dyDescent="0.35">
      <c r="A41" s="217"/>
      <c r="B41" s="226"/>
      <c r="C41" s="211"/>
      <c r="D41" s="227"/>
      <c r="E41" s="225"/>
      <c r="F41" s="225"/>
      <c r="G41" s="218"/>
      <c r="H41" s="229"/>
    </row>
    <row r="42" spans="1:8" ht="15" thickBot="1" x14ac:dyDescent="0.4">
      <c r="A42" s="63" t="s">
        <v>28</v>
      </c>
      <c r="B42" s="153" t="e">
        <f>SUM(B35:B40)</f>
        <v>#REF!</v>
      </c>
      <c r="C42" s="116"/>
      <c r="D42" s="228">
        <f>SUM(D35:D40)</f>
        <v>0</v>
      </c>
      <c r="E42" s="228" t="e">
        <f t="shared" ref="E42:H42" si="3">SUM(E35:E40)</f>
        <v>#REF!</v>
      </c>
      <c r="F42" s="228" t="e">
        <f t="shared" si="3"/>
        <v>#REF!</v>
      </c>
      <c r="G42" s="116"/>
      <c r="H42" s="228" t="e">
        <f t="shared" si="3"/>
        <v>#REF!</v>
      </c>
    </row>
    <row r="43" spans="1:8" ht="15" thickTop="1" x14ac:dyDescent="0.35">
      <c r="A43" s="18"/>
      <c r="B43" s="115"/>
      <c r="C43" s="115"/>
      <c r="D43" s="115"/>
      <c r="E43" s="115"/>
      <c r="F43" s="115"/>
      <c r="G43" s="115"/>
      <c r="H43" s="115"/>
    </row>
    <row r="45" spans="1:8" x14ac:dyDescent="0.35">
      <c r="A45" s="212" t="s">
        <v>195</v>
      </c>
    </row>
    <row r="46" spans="1:8" x14ac:dyDescent="0.35">
      <c r="A46" s="207" t="s">
        <v>196</v>
      </c>
      <c r="H46" s="186">
        <v>0</v>
      </c>
    </row>
    <row r="47" spans="1:8" x14ac:dyDescent="0.35">
      <c r="A47" s="207" t="s">
        <v>197</v>
      </c>
      <c r="H47" s="235" t="e">
        <f>-H15</f>
        <v>#REF!</v>
      </c>
    </row>
    <row r="48" spans="1:8" x14ac:dyDescent="0.35">
      <c r="A48" s="207"/>
      <c r="H48" s="186" t="e">
        <f>SUM(H46:H47)</f>
        <v>#REF!</v>
      </c>
    </row>
    <row r="49" spans="1:8" x14ac:dyDescent="0.35">
      <c r="A49" s="207"/>
    </row>
    <row r="50" spans="1:8" x14ac:dyDescent="0.35">
      <c r="A50" s="207" t="s">
        <v>198</v>
      </c>
    </row>
    <row r="51" spans="1:8" x14ac:dyDescent="0.35">
      <c r="A51" s="207" t="s">
        <v>199</v>
      </c>
      <c r="H51" s="186">
        <v>0</v>
      </c>
    </row>
    <row r="52" spans="1:8" x14ac:dyDescent="0.35">
      <c r="A52" s="207" t="s">
        <v>200</v>
      </c>
      <c r="H52" s="186">
        <v>0</v>
      </c>
    </row>
    <row r="53" spans="1:8" ht="15" thickBot="1" x14ac:dyDescent="0.4">
      <c r="A53" s="207" t="s">
        <v>201</v>
      </c>
      <c r="H53" s="236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PL</vt:lpstr>
      <vt:lpstr>BS</vt:lpstr>
      <vt:lpstr>CE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2026-09-05T12:05:03Z</dcterms:modified>
</cp:coreProperties>
</file>