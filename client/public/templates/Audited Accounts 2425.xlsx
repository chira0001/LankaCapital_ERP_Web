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5F4E5BC4-0FC5-4D66-9138-329178E8ABA3}" xr6:coauthVersionLast="36" xr6:coauthVersionMax="47" xr10:uidLastSave="{00000000-0000-0000-0000-000000000000}"/>
  <bookViews>
    <workbookView xWindow="0" yWindow="0" windowWidth="12072" windowHeight="4512" tabRatio="705" activeTab="2" xr2:uid="{00000000-000D-0000-FFFF-FFFF00000000}"/>
  </bookViews>
  <sheets>
    <sheet name="PPE" sheetId="24" r:id="rId1"/>
    <sheet name="Working" sheetId="25" r:id="rId2"/>
    <sheet name="TB" sheetId="7" r:id="rId3"/>
    <sheet name="PL" sheetId="2" r:id="rId4"/>
    <sheet name="BS" sheetId="1" r:id="rId5"/>
    <sheet name="CE" sheetId="8" r:id="rId6"/>
    <sheet name="CF" sheetId="15" r:id="rId7"/>
    <sheet name="P09" sheetId="6" r:id="rId8"/>
    <sheet name="P10" sheetId="5" r:id="rId9"/>
    <sheet name="P11" sheetId="19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D42" i="20" l="1"/>
  <c r="E27" i="1"/>
  <c r="E12" i="1"/>
  <c r="D29" i="6"/>
  <c r="D30" i="6" s="1"/>
  <c r="D11" i="6"/>
  <c r="C14" i="7"/>
  <c r="C12" i="7"/>
  <c r="C11" i="7"/>
  <c r="D17" i="6"/>
  <c r="D18" i="6" l="1"/>
  <c r="D12" i="6"/>
  <c r="D16" i="6"/>
  <c r="G21" i="5"/>
  <c r="J21" i="5" s="1"/>
  <c r="G20" i="5"/>
  <c r="J20" i="5" s="1"/>
  <c r="G19" i="5"/>
  <c r="J19" i="5" s="1"/>
  <c r="G18" i="5"/>
  <c r="J18" i="5" s="1"/>
  <c r="B11" i="5"/>
  <c r="B10" i="5"/>
  <c r="B9" i="5"/>
  <c r="B8" i="5"/>
  <c r="B7" i="5"/>
  <c r="B6" i="5"/>
  <c r="G11" i="5"/>
  <c r="G10" i="5"/>
  <c r="G9" i="5"/>
  <c r="G8" i="5"/>
  <c r="G7" i="5"/>
  <c r="F4" i="24"/>
  <c r="G4" i="24" s="1"/>
  <c r="B8" i="7"/>
  <c r="G6" i="5" s="1"/>
  <c r="J20" i="19"/>
  <c r="B14" i="25"/>
  <c r="C13" i="25"/>
  <c r="C14" i="25" s="1"/>
  <c r="D13" i="6" s="1"/>
  <c r="C18" i="7"/>
  <c r="G34" i="15"/>
  <c r="G14" i="15"/>
  <c r="D13" i="25" l="1"/>
  <c r="D14" i="25" s="1"/>
  <c r="D14" i="6" s="1"/>
  <c r="B16" i="5"/>
  <c r="B25" i="5" s="1"/>
  <c r="A35" i="20"/>
  <c r="B17" i="5"/>
  <c r="B26" i="5" s="1"/>
  <c r="A36" i="20"/>
  <c r="B18" i="5"/>
  <c r="B27" i="5" s="1"/>
  <c r="A37" i="20"/>
  <c r="B19" i="5"/>
  <c r="B28" i="5" s="1"/>
  <c r="A38" i="20"/>
  <c r="B20" i="5"/>
  <c r="B29" i="5" s="1"/>
  <c r="A39" i="20"/>
  <c r="B21" i="5"/>
  <c r="B30" i="5" s="1"/>
  <c r="A40" i="20"/>
  <c r="J6" i="5"/>
  <c r="B35" i="20"/>
  <c r="E35" i="20" s="1"/>
  <c r="J10" i="5"/>
  <c r="J29" i="5" s="1"/>
  <c r="B39" i="20"/>
  <c r="J7" i="5"/>
  <c r="B36" i="20"/>
  <c r="J9" i="5"/>
  <c r="J28" i="5" s="1"/>
  <c r="B38" i="20"/>
  <c r="J8" i="5"/>
  <c r="J27" i="5" s="1"/>
  <c r="B37" i="20"/>
  <c r="G16" i="5"/>
  <c r="J16" i="5" s="1"/>
  <c r="J11" i="5"/>
  <c r="J30" i="5" s="1"/>
  <c r="B40" i="20"/>
  <c r="D5" i="24"/>
  <c r="G17" i="5"/>
  <c r="J17" i="5" s="1"/>
  <c r="J21" i="19"/>
  <c r="D25" i="6"/>
  <c r="D24" i="6"/>
  <c r="D10" i="2"/>
  <c r="J23" i="19"/>
  <c r="J22" i="19"/>
  <c r="D15" i="6"/>
  <c r="E38" i="20" l="1"/>
  <c r="F38" i="20" s="1"/>
  <c r="H38" i="20" s="1"/>
  <c r="E39" i="20"/>
  <c r="F39" i="20" s="1"/>
  <c r="H39" i="20" s="1"/>
  <c r="E36" i="20"/>
  <c r="E40" i="20"/>
  <c r="F40" i="20" s="1"/>
  <c r="H40" i="20" s="1"/>
  <c r="J26" i="5"/>
  <c r="E37" i="20"/>
  <c r="F37" i="20" s="1"/>
  <c r="H37" i="20" s="1"/>
  <c r="B42" i="20"/>
  <c r="F35" i="20"/>
  <c r="E42" i="20" l="1"/>
  <c r="F36" i="20"/>
  <c r="H36" i="20" s="1"/>
  <c r="H35" i="20"/>
  <c r="E12" i="5"/>
  <c r="E22" i="5"/>
  <c r="D20" i="6"/>
  <c r="D21" i="6"/>
  <c r="D23" i="6"/>
  <c r="H42" i="20" l="1"/>
  <c r="F42" i="20"/>
  <c r="G5" i="24"/>
  <c r="C9" i="7" s="1"/>
  <c r="D19" i="6"/>
  <c r="J24" i="19"/>
  <c r="J25" i="5"/>
  <c r="G22" i="5"/>
  <c r="F11" i="20" l="1"/>
  <c r="H11" i="20" s="1"/>
  <c r="D22" i="6"/>
  <c r="G9" i="15" s="1"/>
  <c r="D26" i="6"/>
  <c r="J12" i="5"/>
  <c r="J22" i="5"/>
  <c r="J31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24" i="20" s="1"/>
  <c r="H47" i="20"/>
  <c r="H48" i="20" s="1"/>
  <c r="H53" i="20" s="1"/>
  <c r="G19" i="15"/>
  <c r="C24" i="7" l="1"/>
  <c r="E28" i="1"/>
  <c r="E29" i="1" s="1"/>
  <c r="B24" i="7"/>
  <c r="D33" i="6"/>
  <c r="D34" i="6" s="1"/>
  <c r="D14" i="2" s="1"/>
  <c r="D16" i="2" s="1"/>
  <c r="G11" i="8" s="1"/>
  <c r="G12" i="5"/>
  <c r="G22" i="15" s="1"/>
  <c r="G23" i="15" s="1"/>
  <c r="G28" i="15" s="1"/>
  <c r="G30" i="15" s="1"/>
  <c r="H38" i="15" s="1"/>
  <c r="B25" i="7" l="1"/>
  <c r="I11" i="8"/>
  <c r="I13" i="8" s="1"/>
  <c r="G13" i="8"/>
  <c r="E20" i="1" s="1"/>
  <c r="E21" i="1" s="1"/>
  <c r="E30" i="1" s="1"/>
  <c r="E8" i="1"/>
  <c r="E9" i="1" l="1"/>
  <c r="E15" i="1" s="1"/>
  <c r="G30" i="1" s="1"/>
  <c r="G32" i="1" s="1"/>
</calcChain>
</file>

<file path=xl/sharedStrings.xml><?xml version="1.0" encoding="utf-8"?>
<sst xmlns="http://schemas.openxmlformats.org/spreadsheetml/2006/main" count="243" uniqueCount="192">
  <si>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</si>
  <si>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</si>
  <si>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</si>
  <si>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</si>
  <si>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</si>
  <si>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</si>
  <si>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</si>
  <si>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</si>
  <si>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</si>
  <si>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</si>
  <si>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</si>
  <si>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</si>
  <si>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</si>
  <si>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</si>
  <si>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</si>
  <si>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</si>
  <si>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</si>
  <si>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</si>
  <si>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</si>
  <si>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</si>
  <si>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</si>
  <si>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</si>
  <si>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</si>
  <si>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</si>
  <si>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</si>
  <si>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</si>
  <si>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</si>
  <si>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</si>
  <si>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</si>
  <si>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</si>
  <si>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</si>
  <si>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</si>
  <si>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</si>
  <si>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</si>
  <si>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</si>
  <si>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</si>
  <si>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</si>
  <si>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</si>
  <si>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</si>
  <si>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</si>
  <si>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</si>
  <si>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</si>
  <si>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</si>
  <si>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</si>
  <si>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</si>
  <si>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</si>
  <si>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</si>
  <si>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</si>
  <si>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</si>
  <si>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</si>
  <si>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</si>
  <si>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</si>
  <si>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</si>
  <si>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</si>
  <si>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</si>
  <si>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</si>
  <si>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</si>
  <si>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</si>
  <si>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</si>
  <si>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</si>
  <si>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</si>
  <si>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</si>
  <si>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</si>
  <si>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</si>
  <si>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</si>
  <si>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</si>
  <si>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</si>
  <si>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</si>
  <si>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</si>
  <si>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</si>
  <si>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</si>
  <si>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</si>
  <si>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</si>
  <si>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</si>
  <si>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</si>
  <si>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</si>
  <si>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</si>
  <si>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</si>
  <si>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</si>
  <si>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</si>
  <si>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</si>
  <si>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</si>
  <si>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</si>
  <si>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</si>
  <si>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</si>
  <si>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</si>
  <si>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</si>
  <si>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</si>
  <si>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</si>
  <si>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</si>
  <si>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</si>
  <si>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</si>
  <si>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</si>
  <si>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</si>
  <si>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</si>
  <si>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</si>
  <si>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</si>
  <si>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</si>
  <si>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</si>
  <si>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Printing &amp; Stationery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</si>
  <si>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</si>
  <si>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</si>
  <si>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</si>
  <si>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</si>
  <si>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</si>
  <si>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</si>
  <si>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Telephone &amp; Internet</t>
  </si>
  <si>
    <t>Interest Income</t>
  </si>
  <si>
    <t>As at 31st March 2025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</si>
  <si>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</si>
  <si>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</si>
  <si>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</si>
  <si>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</si>
  <si>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</si>
  <si>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</si>
  <si>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</si>
  <si>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</si>
  <si>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</si>
  <si>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</si>
  <si>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</si>
  <si>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</si>
  <si>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</si>
  <si>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</si>
  <si>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</si>
  <si>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</si>
  <si>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</si>
  <si>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</si>
  <si>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</si>
  <si>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</si>
  <si>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</si>
  <si>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</si>
  <si>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</si>
  <si>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</si>
  <si>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</si>
  <si>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</si>
  <si>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Salaries &amp; Wages</t>
  </si>
  <si>
    <t xml:space="preserve">Electricity </t>
  </si>
  <si>
    <t xml:space="preserve">Office Rent </t>
  </si>
  <si>
    <t xml:space="preserve">Depreciation 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</si>
  <si>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</si>
  <si>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</si>
  <si>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</si>
  <si>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</si>
  <si>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</si>
  <si>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</si>
  <si>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</si>
  <si>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</si>
  <si>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Incorporation Fee</t>
  </si>
  <si>
    <t>Commission Income</t>
  </si>
  <si>
    <t>N K R S LANKA CAPITAL (PRIVATE) LIMITED</t>
  </si>
  <si>
    <t>TIN NO. 111350027</t>
  </si>
  <si>
    <t>Advertisment &amp; Sales Promotion</t>
  </si>
  <si>
    <t>Bad Debts</t>
  </si>
  <si>
    <t>Insurance</t>
  </si>
  <si>
    <t>Income</t>
  </si>
  <si>
    <t>Bill Nu.</t>
  </si>
  <si>
    <t>EPF &amp; ETF</t>
  </si>
  <si>
    <t>EPF20%</t>
  </si>
  <si>
    <t>EPF12%</t>
  </si>
  <si>
    <t>ETF3%</t>
  </si>
  <si>
    <t>EPF</t>
  </si>
  <si>
    <t>ETF</t>
  </si>
  <si>
    <t>Date</t>
  </si>
  <si>
    <t xml:space="preserve">Business Promotion &amp; Marketing Expneses </t>
  </si>
  <si>
    <t xml:space="preserve">EPF </t>
  </si>
  <si>
    <t>Dirtectors remuniration</t>
  </si>
  <si>
    <t>FOR THE PERIOD ENDED 31ST MARCH</t>
  </si>
  <si>
    <t>Director Remuniration</t>
  </si>
  <si>
    <t>Office Repair &amp; Maintance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</si>
  <si>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</si>
  <si>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</si>
  <si>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</si>
  <si>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</si>
  <si>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</si>
  <si>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</si>
  <si>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</si>
  <si>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</si>
  <si>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</si>
  <si>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</si>
  <si>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</si>
  <si>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</si>
  <si>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</si>
  <si>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</si>
  <si>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</si>
  <si>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</si>
  <si>
    <t>Administrative Expenses</t>
  </si>
  <si>
    <t>EPF ETF</t>
  </si>
  <si>
    <t>Liabilities</t>
  </si>
  <si>
    <t>Equity</t>
  </si>
  <si>
    <t>Expenses</t>
  </si>
  <si>
    <t>Accounts</t>
  </si>
  <si>
    <t>N K R S Lanka Capital Pvt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</si>
</sst>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sz val="11"/>
      <color theme="1"/>
      <name val="Times New Roman"/>
      <family val="1"/>
    </font>
    <font>
      <u/>
      <sz val="10"/>
      <color theme="1"/>
      <name val="Trebuchet MS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0" fillId="0" borderId="0"/>
  </cellStyleXfs>
  <cellXfs count="236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9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0" fontId="10" fillId="0" borderId="6" xfId="5" applyFont="1" applyBorder="1" applyAlignment="1">
      <alignment horizontal="center" vertical="center"/>
    </xf>
    <xf numFmtId="0" fontId="10" fillId="0" borderId="6" xfId="5" applyFont="1" applyBorder="1" applyAlignment="1">
      <alignment horizontal="left" vertical="center" wrapText="1"/>
    </xf>
    <xf numFmtId="0" fontId="10" fillId="0" borderId="6" xfId="5" applyFont="1" applyBorder="1" applyAlignment="1">
      <alignment horizontal="left" vertical="center"/>
    </xf>
    <xf numFmtId="17" fontId="10" fillId="0" borderId="6" xfId="5" applyNumberFormat="1" applyFont="1" applyBorder="1" applyAlignment="1">
      <alignment horizontal="left" vertical="center"/>
    </xf>
    <xf numFmtId="43" fontId="10" fillId="0" borderId="6" xfId="1" applyFont="1" applyBorder="1" applyAlignment="1">
      <alignment horizontal="left" vertical="center"/>
    </xf>
    <xf numFmtId="43" fontId="10" fillId="0" borderId="6" xfId="5" applyNumberFormat="1" applyFont="1" applyBorder="1" applyAlignment="1">
      <alignment horizontal="left" vertical="center"/>
    </xf>
    <xf numFmtId="43" fontId="9" fillId="0" borderId="6" xfId="5" applyNumberFormat="1" applyFont="1" applyBorder="1" applyAlignment="1">
      <alignment horizontal="left" vertic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8" fillId="2" borderId="0" xfId="0" applyFont="1" applyFill="1"/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8" fillId="0" borderId="0" xfId="0" applyFont="1"/>
    <xf numFmtId="43" fontId="18" fillId="0" borderId="0" xfId="0" applyNumberFormat="1" applyFont="1"/>
    <xf numFmtId="0" fontId="18" fillId="0" borderId="0" xfId="0" applyFont="1" applyAlignment="1">
      <alignment horizontal="left"/>
    </xf>
    <xf numFmtId="166" fontId="18" fillId="0" borderId="0" xfId="0" applyNumberFormat="1" applyFont="1"/>
    <xf numFmtId="43" fontId="0" fillId="0" borderId="0" xfId="1" applyFont="1"/>
    <xf numFmtId="43" fontId="10" fillId="0" borderId="0" xfId="5" applyNumberFormat="1" applyFont="1" applyAlignment="1">
      <alignment horizontal="left" vertical="center"/>
    </xf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43" fontId="0" fillId="2" borderId="0" xfId="1" applyFont="1" applyFill="1"/>
    <xf numFmtId="166" fontId="10" fillId="0" borderId="6" xfId="1" quotePrefix="1" applyNumberFormat="1" applyFont="1" applyBorder="1" applyAlignment="1">
      <alignment horizontal="center" vertical="center"/>
    </xf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8" fillId="0" borderId="0" xfId="0" applyFont="1"/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8" fillId="2" borderId="0" xfId="0" applyFont="1" applyFill="1" applyAlignment="1">
      <alignment horizontal="center"/>
    </xf>
    <xf numFmtId="43" fontId="8" fillId="2" borderId="0" xfId="1" applyFont="1" applyFill="1"/>
    <xf numFmtId="0" fontId="21" fillId="0" borderId="0" xfId="0" applyFont="1"/>
    <xf numFmtId="166" fontId="22" fillId="0" borderId="0" xfId="0" applyNumberFormat="1" applyFont="1" applyAlignment="1">
      <alignment horizontal="center" vertical="top"/>
    </xf>
    <xf numFmtId="166" fontId="22" fillId="0" borderId="0" xfId="1" applyNumberFormat="1" applyFont="1" applyFill="1" applyAlignment="1">
      <alignment horizontal="center" vertical="top"/>
    </xf>
    <xf numFmtId="0" fontId="22" fillId="0" borderId="0" xfId="0" applyFont="1" applyAlignment="1">
      <alignment horizontal="left" vertical="top"/>
    </xf>
    <xf numFmtId="166" fontId="0" fillId="0" borderId="0" xfId="1" applyNumberFormat="1" applyFont="1" applyFill="1" applyAlignment="1">
      <alignment vertical="top"/>
    </xf>
    <xf numFmtId="0" fontId="23" fillId="0" borderId="0" xfId="0" applyFont="1" applyAlignment="1">
      <alignment horizontal="left" vertical="top"/>
    </xf>
    <xf numFmtId="166" fontId="0" fillId="0" borderId="0" xfId="1" applyNumberFormat="1" applyFont="1" applyFill="1" applyBorder="1"/>
    <xf numFmtId="166" fontId="23" fillId="0" borderId="0" xfId="1" applyNumberFormat="1" applyFont="1" applyFill="1" applyAlignment="1">
      <alignment vertical="top"/>
    </xf>
    <xf numFmtId="0" fontId="23" fillId="0" borderId="0" xfId="0" applyFont="1" applyAlignment="1">
      <alignment vertical="top"/>
    </xf>
    <xf numFmtId="0" fontId="21" fillId="0" borderId="0" xfId="0" applyFont="1" applyAlignment="1">
      <alignment horizontal="left" vertical="top"/>
    </xf>
    <xf numFmtId="166" fontId="0" fillId="0" borderId="2" xfId="1" applyNumberFormat="1" applyFont="1" applyFill="1" applyBorder="1" applyAlignment="1">
      <alignment vertical="top"/>
    </xf>
    <xf numFmtId="166" fontId="24" fillId="0" borderId="0" xfId="1" applyNumberFormat="1" applyFont="1" applyFill="1" applyAlignment="1">
      <alignment vertical="top"/>
    </xf>
    <xf numFmtId="43" fontId="0" fillId="0" borderId="0" xfId="1" applyFont="1" applyFill="1"/>
    <xf numFmtId="166" fontId="23" fillId="0" borderId="0" xfId="1" applyNumberFormat="1" applyFont="1" applyFill="1"/>
    <xf numFmtId="0" fontId="22" fillId="0" borderId="0" xfId="0" applyFont="1" applyAlignment="1">
      <alignment horizontal="center" vertical="top"/>
    </xf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12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7"/>
  <sheetViews>
    <sheetView workbookViewId="0">
      <selection activeCell="A4" sqref="A4"/>
    </sheetView>
  </sheetViews>
  <sheetFormatPr defaultRowHeight="14.4" x14ac:dyDescent="0.3"/>
  <cols>
    <col min="1" max="1" width="19.109375" style="44" bestFit="1" customWidth="1"/>
    <col min="2" max="2" width="11.77734375" style="44" customWidth="1"/>
    <col min="3" max="3" width="11.6640625" style="44" bestFit="1" customWidth="1"/>
    <col min="4" max="4" width="12.5546875" style="44" bestFit="1" customWidth="1"/>
    <col min="5" max="5" width="14.6640625" style="44" customWidth="1"/>
    <col min="6" max="6" width="12" style="44" customWidth="1"/>
    <col min="7" max="7" width="12.5546875" style="44" customWidth="1"/>
    <col min="8" max="8" width="8.88671875" style="44"/>
    <col min="9" max="9" width="10.6640625" style="44" bestFit="1" customWidth="1"/>
    <col min="10" max="16384" width="8.88671875" style="44"/>
  </cols>
  <sheetData>
    <row r="1" spans="1:9" x14ac:dyDescent="0.3">
      <c r="A1" s="37" t="s">
        <v>114</v>
      </c>
      <c r="C1" s="37"/>
    </row>
    <row r="3" spans="1:9" ht="28.8" x14ac:dyDescent="0.3">
      <c r="A3" s="137" t="s">
        <v>115</v>
      </c>
      <c r="B3" s="138" t="s">
        <v>116</v>
      </c>
      <c r="C3" s="137" t="s">
        <v>119</v>
      </c>
      <c r="D3" s="139" t="s">
        <v>109</v>
      </c>
      <c r="E3" s="138" t="s">
        <v>117</v>
      </c>
      <c r="F3" s="138" t="s">
        <v>162</v>
      </c>
      <c r="G3" s="138" t="s">
        <v>118</v>
      </c>
    </row>
    <row r="4" spans="1:9" x14ac:dyDescent="0.3">
      <c r="A4" t="s">
        <v>110</v>
      </c>
      <c r="B4" s="140">
        <v>45385</v>
      </c>
      <c r="C4" s="171">
        <v>5</v>
      </c>
      <c r="D4" s="141">
        <v>153700</v>
      </c>
      <c r="E4" s="140">
        <v>45728</v>
      </c>
      <c r="F4" s="141">
        <f t="shared" ref="F4" si="0">E4-B4</f>
        <v>343</v>
      </c>
      <c r="G4" s="142">
        <f>(D4/C4)*(F4/365)</f>
        <v>28887.178082191782</v>
      </c>
      <c r="I4" s="166"/>
    </row>
    <row r="5" spans="1:9" x14ac:dyDescent="0.3">
      <c r="A5" s="139"/>
      <c r="B5" s="139"/>
      <c r="C5" s="139"/>
      <c r="D5" s="143">
        <f>SUM(D4:D4)</f>
        <v>153700</v>
      </c>
      <c r="E5" s="139"/>
      <c r="F5" s="139"/>
      <c r="G5" s="143">
        <f>SUM(G4:G4)</f>
        <v>28887.178082191782</v>
      </c>
    </row>
    <row r="7" spans="1:9" x14ac:dyDescent="0.3">
      <c r="D7" s="16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sheetPr codeName="Sheet2"/>
  <dimension ref="A1:D15"/>
  <sheetViews>
    <sheetView workbookViewId="0">
      <selection activeCell="A4" sqref="A4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1" spans="1:4" x14ac:dyDescent="0.3">
      <c r="A1" s="221" t="s">
        <v>154</v>
      </c>
    </row>
    <row r="2" spans="1:4" x14ac:dyDescent="0.3">
      <c r="A2" t="s">
        <v>107</v>
      </c>
      <c r="B2" s="165">
        <v>2328236</v>
      </c>
    </row>
    <row r="3" spans="1:4" x14ac:dyDescent="0.3">
      <c r="B3" s="165"/>
    </row>
    <row r="4" spans="1:4" x14ac:dyDescent="0.3">
      <c r="A4" s="221" t="s">
        <v>185</v>
      </c>
      <c r="B4" s="165"/>
    </row>
    <row r="5" spans="1:4" x14ac:dyDescent="0.3">
      <c r="A5" t="s">
        <v>151</v>
      </c>
      <c r="B5" s="170">
        <v>99975</v>
      </c>
    </row>
    <row r="6" spans="1:4" x14ac:dyDescent="0.3">
      <c r="B6" s="165"/>
    </row>
    <row r="7" spans="1:4" x14ac:dyDescent="0.3">
      <c r="B7" s="165"/>
    </row>
    <row r="8" spans="1:4" x14ac:dyDescent="0.3">
      <c r="A8" s="221" t="s">
        <v>19</v>
      </c>
      <c r="C8" t="s">
        <v>155</v>
      </c>
    </row>
    <row r="9" spans="1:4" x14ac:dyDescent="0.3">
      <c r="B9" s="165"/>
    </row>
    <row r="10" spans="1:4" x14ac:dyDescent="0.3">
      <c r="B10" s="165"/>
    </row>
    <row r="11" spans="1:4" x14ac:dyDescent="0.3">
      <c r="A11" s="221" t="s">
        <v>186</v>
      </c>
      <c r="B11" s="165"/>
    </row>
    <row r="12" spans="1:4" x14ac:dyDescent="0.3">
      <c r="A12" t="s">
        <v>156</v>
      </c>
      <c r="B12" t="s">
        <v>157</v>
      </c>
      <c r="C12" t="s">
        <v>158</v>
      </c>
      <c r="D12" t="s">
        <v>159</v>
      </c>
    </row>
    <row r="13" spans="1:4" x14ac:dyDescent="0.3">
      <c r="A13" s="167">
        <v>45597</v>
      </c>
      <c r="B13" s="165">
        <v>4200</v>
      </c>
      <c r="C13" s="165">
        <f>B13*12/20</f>
        <v>2520</v>
      </c>
      <c r="D13" s="165">
        <f>C13*3/12</f>
        <v>630</v>
      </c>
    </row>
    <row r="14" spans="1:4" ht="15" thickBot="1" x14ac:dyDescent="0.35">
      <c r="A14" t="s">
        <v>27</v>
      </c>
      <c r="B14" s="168">
        <f>SUM(B13:B13)</f>
        <v>4200</v>
      </c>
      <c r="C14" s="169">
        <f>SUM(C13:C13)</f>
        <v>2520</v>
      </c>
      <c r="D14" s="169">
        <f>SUM(D13:D13)</f>
        <v>630</v>
      </c>
    </row>
    <row r="15" spans="1:4" ht="15" thickTop="1" x14ac:dyDescent="0.3">
      <c r="B15" s="165"/>
      <c r="C15" s="165"/>
      <c r="D15" s="16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25"/>
  <sheetViews>
    <sheetView tabSelected="1" workbookViewId="0">
      <selection activeCell="G11" sqref="G11"/>
    </sheetView>
  </sheetViews>
  <sheetFormatPr defaultColWidth="9.109375" defaultRowHeight="13.8" x14ac:dyDescent="0.25"/>
  <cols>
    <col min="1" max="1" width="25" style="163" bestFit="1" customWidth="1"/>
    <col min="2" max="2" width="11.109375" style="88" bestFit="1" customWidth="1"/>
    <col min="3" max="3" width="10" style="164" bestFit="1" customWidth="1"/>
    <col min="4" max="4" width="11.5546875" style="161" bestFit="1" customWidth="1"/>
    <col min="5" max="9" width="9.109375" style="161"/>
    <col min="10" max="10" width="11.5546875" style="161" bestFit="1" customWidth="1"/>
    <col min="11" max="16384" width="9.109375" style="161"/>
  </cols>
  <sheetData>
    <row r="1" spans="1:10" ht="14.4" x14ac:dyDescent="0.25">
      <c r="A1" s="235" t="s">
        <v>191</v>
      </c>
      <c r="B1" s="235"/>
      <c r="C1" s="235"/>
    </row>
    <row r="2" spans="1:10" ht="14.4" x14ac:dyDescent="0.25">
      <c r="A2" s="235" t="s">
        <v>16</v>
      </c>
      <c r="B2" s="235"/>
      <c r="C2" s="235"/>
    </row>
    <row r="3" spans="1:10" ht="14.4" x14ac:dyDescent="0.25">
      <c r="A3" s="235" t="s">
        <v>108</v>
      </c>
      <c r="B3" s="235"/>
      <c r="C3" s="235"/>
    </row>
    <row r="4" spans="1:10" ht="14.4" x14ac:dyDescent="0.25">
      <c r="A4" s="230" t="s">
        <v>190</v>
      </c>
      <c r="B4" s="222" t="s">
        <v>17</v>
      </c>
      <c r="C4" s="223" t="s">
        <v>18</v>
      </c>
    </row>
    <row r="5" spans="1:10" ht="14.4" x14ac:dyDescent="0.25">
      <c r="A5" s="224" t="s">
        <v>20</v>
      </c>
      <c r="B5" s="225"/>
      <c r="C5" s="225"/>
    </row>
    <row r="6" spans="1:10" ht="14.4" x14ac:dyDescent="0.25">
      <c r="A6" s="226" t="s">
        <v>120</v>
      </c>
      <c r="B6" s="232">
        <v>12560</v>
      </c>
      <c r="C6" s="225"/>
    </row>
    <row r="7" spans="1:10" ht="14.4" x14ac:dyDescent="0.25">
      <c r="A7" s="224" t="s">
        <v>19</v>
      </c>
      <c r="B7" s="225"/>
      <c r="C7" s="225"/>
      <c r="J7" s="162"/>
    </row>
    <row r="8" spans="1:10" ht="14.4" x14ac:dyDescent="0.25">
      <c r="A8" s="226" t="s">
        <v>110</v>
      </c>
      <c r="B8" s="225">
        <f>+PPE!D4</f>
        <v>153700</v>
      </c>
      <c r="C8" s="225"/>
      <c r="J8" s="162"/>
    </row>
    <row r="9" spans="1:10" ht="14.4" x14ac:dyDescent="0.25">
      <c r="A9" s="226" t="s">
        <v>122</v>
      </c>
      <c r="B9" s="225"/>
      <c r="C9" s="225">
        <f>+PPE!G5</f>
        <v>28887.178082191782</v>
      </c>
    </row>
    <row r="10" spans="1:10" ht="14.4" x14ac:dyDescent="0.25">
      <c r="A10" s="224" t="s">
        <v>187</v>
      </c>
      <c r="B10" s="225"/>
      <c r="C10" s="225"/>
    </row>
    <row r="11" spans="1:10" ht="14.4" x14ac:dyDescent="0.25">
      <c r="A11" s="226" t="s">
        <v>121</v>
      </c>
      <c r="B11" s="225"/>
      <c r="C11" s="225">
        <f>+B22</f>
        <v>15000</v>
      </c>
    </row>
    <row r="12" spans="1:10" ht="14.4" x14ac:dyDescent="0.25">
      <c r="A12" s="226" t="s">
        <v>100</v>
      </c>
      <c r="B12" s="225"/>
      <c r="C12" s="225">
        <f>+B23</f>
        <v>25000</v>
      </c>
    </row>
    <row r="13" spans="1:10" ht="14.4" x14ac:dyDescent="0.3">
      <c r="A13" s="221" t="s">
        <v>188</v>
      </c>
      <c r="B13" s="227"/>
      <c r="C13" s="228"/>
    </row>
    <row r="14" spans="1:10" ht="14.4" x14ac:dyDescent="0.25">
      <c r="A14" s="226" t="s">
        <v>21</v>
      </c>
      <c r="B14" s="225"/>
      <c r="C14" s="225">
        <f>1000*6</f>
        <v>6000</v>
      </c>
    </row>
    <row r="15" spans="1:10" ht="14.4" x14ac:dyDescent="0.25">
      <c r="A15" s="226" t="s">
        <v>169</v>
      </c>
      <c r="B15" s="225"/>
      <c r="C15" s="225">
        <v>1000000</v>
      </c>
    </row>
    <row r="16" spans="1:10" s="213" customFormat="1" ht="14.4" x14ac:dyDescent="0.25">
      <c r="A16" s="224" t="s">
        <v>154</v>
      </c>
      <c r="B16" s="225"/>
      <c r="C16" s="228"/>
    </row>
    <row r="17" spans="1:3" ht="14.4" x14ac:dyDescent="0.3">
      <c r="A17" s="229" t="s">
        <v>170</v>
      </c>
      <c r="B17" s="233">
        <v>112919.5</v>
      </c>
      <c r="C17" s="225"/>
    </row>
    <row r="18" spans="1:3" s="213" customFormat="1" ht="14.4" x14ac:dyDescent="0.3">
      <c r="A18" s="226" t="s">
        <v>107</v>
      </c>
      <c r="B18" s="225"/>
      <c r="C18" s="234">
        <f>+Working!B2</f>
        <v>2328236</v>
      </c>
    </row>
    <row r="19" spans="1:3" ht="14.4" x14ac:dyDescent="0.3">
      <c r="A19" s="221" t="s">
        <v>189</v>
      </c>
      <c r="B19" s="225"/>
      <c r="C19" s="225"/>
    </row>
    <row r="20" spans="1:3" ht="14.4" x14ac:dyDescent="0.25">
      <c r="A20" s="226" t="s">
        <v>165</v>
      </c>
      <c r="B20" s="225">
        <v>1220000</v>
      </c>
      <c r="C20" s="225"/>
    </row>
    <row r="21" spans="1:3" ht="14.4" x14ac:dyDescent="0.25">
      <c r="A21" s="226" t="s">
        <v>142</v>
      </c>
      <c r="B21" s="225"/>
      <c r="C21" s="225"/>
    </row>
    <row r="22" spans="1:3" ht="14.4" x14ac:dyDescent="0.25">
      <c r="A22" s="226" t="s">
        <v>121</v>
      </c>
      <c r="B22" s="225">
        <v>15000</v>
      </c>
      <c r="C22" s="225"/>
    </row>
    <row r="23" spans="1:3" ht="14.4" x14ac:dyDescent="0.25">
      <c r="A23" s="226" t="s">
        <v>100</v>
      </c>
      <c r="B23" s="225">
        <v>25000</v>
      </c>
      <c r="C23" s="225"/>
    </row>
    <row r="24" spans="1:3" ht="15" thickBot="1" x14ac:dyDescent="0.3">
      <c r="A24" s="230" t="s">
        <v>27</v>
      </c>
      <c r="B24" s="231">
        <f>SUM(B5:B23)</f>
        <v>1539179.5</v>
      </c>
      <c r="C24" s="231">
        <f>SUM(C5:C23)</f>
        <v>3403123.1780821919</v>
      </c>
    </row>
    <row r="25" spans="1:3" ht="14.4" thickTop="1" x14ac:dyDescent="0.25">
      <c r="B25" s="88">
        <f>B24-C24</f>
        <v>-1863943.6780821919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G24"/>
  <sheetViews>
    <sheetView zoomScaleNormal="100" zoomScaleSheetLayoutView="100" workbookViewId="0">
      <selection activeCell="A17" sqref="A17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149</v>
      </c>
      <c r="B1" s="1"/>
      <c r="C1" s="1"/>
      <c r="D1" s="160" t="s">
        <v>28</v>
      </c>
    </row>
    <row r="2" spans="1:7" x14ac:dyDescent="0.35">
      <c r="A2" s="11" t="s">
        <v>30</v>
      </c>
      <c r="B2" s="1"/>
      <c r="C2" s="1"/>
      <c r="D2" s="1"/>
    </row>
    <row r="3" spans="1:7" x14ac:dyDescent="0.35">
      <c r="A3" s="11" t="s">
        <v>101</v>
      </c>
      <c r="B3" s="1"/>
      <c r="C3" s="1"/>
      <c r="D3" s="9">
        <v>2025</v>
      </c>
    </row>
    <row r="4" spans="1:7" x14ac:dyDescent="0.35">
      <c r="B4" s="3" t="s">
        <v>29</v>
      </c>
      <c r="D4" s="10" t="s">
        <v>22</v>
      </c>
    </row>
    <row r="5" spans="1:7" x14ac:dyDescent="0.35">
      <c r="C5" s="2"/>
      <c r="D5" s="2"/>
      <c r="G5" s="4"/>
    </row>
    <row r="6" spans="1:7" x14ac:dyDescent="0.35">
      <c r="A6" s="2" t="s">
        <v>68</v>
      </c>
      <c r="B6" s="3">
        <v>4</v>
      </c>
      <c r="C6" s="2"/>
      <c r="D6" s="118">
        <f>+'P09'!D8</f>
        <v>2328236</v>
      </c>
      <c r="G6" s="4"/>
    </row>
    <row r="7" spans="1:7" x14ac:dyDescent="0.35">
      <c r="B7" s="3"/>
      <c r="C7" s="2"/>
      <c r="D7" s="118"/>
    </row>
    <row r="8" spans="1:7" x14ac:dyDescent="0.35">
      <c r="A8" s="2" t="s">
        <v>12</v>
      </c>
      <c r="B8" s="3">
        <v>5</v>
      </c>
      <c r="C8" s="2"/>
      <c r="D8" s="121" t="e">
        <f>-'P09'!D26</f>
        <v>#REF!</v>
      </c>
      <c r="G8" s="5"/>
    </row>
    <row r="9" spans="1:7" x14ac:dyDescent="0.35">
      <c r="A9" s="1"/>
      <c r="B9" s="3"/>
      <c r="C9" s="2"/>
      <c r="D9" s="122"/>
    </row>
    <row r="10" spans="1:7" x14ac:dyDescent="0.35">
      <c r="A10" s="2" t="s">
        <v>34</v>
      </c>
      <c r="B10" s="3">
        <v>6</v>
      </c>
      <c r="C10" s="2"/>
      <c r="D10" s="123" t="e">
        <f>-'P09'!D30</f>
        <v>#REF!</v>
      </c>
    </row>
    <row r="11" spans="1:7" x14ac:dyDescent="0.35">
      <c r="D11" s="118"/>
    </row>
    <row r="12" spans="1:7" x14ac:dyDescent="0.35">
      <c r="A12" s="12" t="s">
        <v>31</v>
      </c>
      <c r="B12" s="1"/>
      <c r="D12" s="119" t="e">
        <f>SUM(D6:D10)</f>
        <v>#REF!</v>
      </c>
    </row>
    <row r="13" spans="1:7" x14ac:dyDescent="0.35">
      <c r="D13" s="119"/>
    </row>
    <row r="14" spans="1:7" x14ac:dyDescent="0.35">
      <c r="A14" s="13" t="s">
        <v>35</v>
      </c>
      <c r="B14" s="3">
        <v>7</v>
      </c>
      <c r="D14" s="123">
        <f>-'P09'!D34</f>
        <v>0</v>
      </c>
    </row>
    <row r="15" spans="1:7" x14ac:dyDescent="0.35">
      <c r="D15" s="119"/>
    </row>
    <row r="16" spans="1:7" ht="15" thickBot="1" x14ac:dyDescent="0.4">
      <c r="A16" s="12" t="s">
        <v>183</v>
      </c>
      <c r="D16" s="124" t="e">
        <f>SUM(D12:D14)</f>
        <v>#REF!</v>
      </c>
    </row>
    <row r="17" spans="1:4" ht="15" thickTop="1" x14ac:dyDescent="0.35">
      <c r="D17" s="118"/>
    </row>
    <row r="18" spans="1:4" x14ac:dyDescent="0.35">
      <c r="A18" s="1"/>
      <c r="B18" s="1"/>
      <c r="D18" s="125"/>
    </row>
    <row r="19" spans="1:4" x14ac:dyDescent="0.35">
      <c r="D19" s="7"/>
    </row>
    <row r="22" spans="1:4" x14ac:dyDescent="0.35">
      <c r="A22" s="2" t="s">
        <v>32</v>
      </c>
    </row>
    <row r="24" spans="1:4" x14ac:dyDescent="0.35">
      <c r="A24" s="2" t="s">
        <v>33</v>
      </c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ALX51"/>
  <sheetViews>
    <sheetView zoomScaleNormal="100" zoomScaleSheetLayoutView="100" workbookViewId="0">
      <selection activeCell="K25" sqref="K25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149</v>
      </c>
      <c r="B1" s="1"/>
      <c r="C1" s="1"/>
      <c r="D1" s="1"/>
      <c r="E1" s="160" t="s">
        <v>36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128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29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52"/>
    </row>
    <row r="7" spans="1:1003" x14ac:dyDescent="0.35">
      <c r="A7" s="1" t="s">
        <v>23</v>
      </c>
      <c r="B7" s="1"/>
      <c r="E7" s="73"/>
      <c r="F7" s="151"/>
    </row>
    <row r="8" spans="1:1003" x14ac:dyDescent="0.35">
      <c r="A8" s="18" t="s">
        <v>143</v>
      </c>
      <c r="C8" s="3">
        <v>8</v>
      </c>
      <c r="D8" s="3"/>
      <c r="E8" s="121" t="e">
        <f>+'P10'!J31</f>
        <v>#REF!</v>
      </c>
      <c r="F8" s="151"/>
    </row>
    <row r="9" spans="1:1003" x14ac:dyDescent="0.35">
      <c r="E9" s="126" t="e">
        <f>SUM(E8)</f>
        <v>#REF!</v>
      </c>
      <c r="F9" s="151"/>
    </row>
    <row r="10" spans="1:1003" x14ac:dyDescent="0.35">
      <c r="E10" s="121"/>
      <c r="F10" s="151"/>
    </row>
    <row r="11" spans="1:1003" x14ac:dyDescent="0.35">
      <c r="A11" s="1" t="s">
        <v>2</v>
      </c>
      <c r="B11" s="1"/>
      <c r="E11" s="73"/>
      <c r="F11" s="101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50" t="s">
        <v>170</v>
      </c>
      <c r="B12" s="150"/>
      <c r="C12" s="219"/>
      <c r="D12" s="219"/>
      <c r="E12" s="220">
        <f>TB!B17</f>
        <v>112919.5</v>
      </c>
      <c r="F12" s="10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1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39</v>
      </c>
      <c r="C14" s="3"/>
      <c r="D14" s="3"/>
      <c r="E14" s="126">
        <f>SUM(E12:E13)</f>
        <v>125479.5</v>
      </c>
      <c r="F14" s="10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27" t="e">
        <f>SUM(E14+E9)</f>
        <v>#REF!</v>
      </c>
      <c r="F15" s="101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1"/>
      <c r="F16" s="151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52"/>
      <c r="E17" s="73"/>
      <c r="F17" s="151"/>
      <c r="I17" s="15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37</v>
      </c>
      <c r="B18" s="1"/>
      <c r="E18" s="73"/>
      <c r="F18" s="151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51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 t="e">
        <f>+CE!G13</f>
        <v>#REF!</v>
      </c>
      <c r="F20" s="151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26" t="e">
        <f>SUM(E19:E20)</f>
        <v>#REF!</v>
      </c>
      <c r="F21" s="151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1"/>
      <c r="F22" s="151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40</v>
      </c>
      <c r="E23" s="121">
        <v>0</v>
      </c>
      <c r="F23" s="151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51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51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54" t="s">
        <v>105</v>
      </c>
      <c r="C26" s="3">
        <v>11</v>
      </c>
      <c r="D26" s="3"/>
      <c r="E26" s="73" t="e">
        <f>+'P11'!J24</f>
        <v>#REF!</v>
      </c>
      <c r="F26" s="151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54" t="s">
        <v>38</v>
      </c>
      <c r="B27" s="155"/>
      <c r="E27" s="73">
        <f>TB!C15</f>
        <v>1000000</v>
      </c>
      <c r="F27" s="151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56" t="s">
        <v>41</v>
      </c>
      <c r="E28" s="126" t="e">
        <f>SUM(E26:E27)</f>
        <v>#REF!</v>
      </c>
      <c r="F28" s="151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56" t="s">
        <v>42</v>
      </c>
      <c r="E29" s="128" t="e">
        <f>E28+E23</f>
        <v>#REF!</v>
      </c>
      <c r="F29" s="151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27" t="e">
        <f>+E21+E29</f>
        <v>#REF!</v>
      </c>
      <c r="F30" s="151"/>
      <c r="G30" s="77" t="e">
        <f>E15-E30</f>
        <v>#REF!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1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 t="e">
        <f>G15-G30</f>
        <v>#REF!</v>
      </c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89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57" t="s">
        <v>43</v>
      </c>
      <c r="B36" s="157"/>
      <c r="C36" s="157"/>
      <c r="D36" s="157"/>
      <c r="E36" s="24"/>
      <c r="F36" s="157"/>
      <c r="G36" s="157"/>
      <c r="H36" s="157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57"/>
      <c r="B37" s="157"/>
      <c r="C37" s="157"/>
      <c r="D37" s="157"/>
      <c r="E37" s="24"/>
      <c r="F37" s="157"/>
      <c r="G37" s="157"/>
      <c r="H37" s="157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58"/>
      <c r="B38" s="158"/>
      <c r="C38" s="158"/>
      <c r="D38" s="158"/>
      <c r="E38" s="25"/>
      <c r="F38" s="158"/>
      <c r="G38" s="158"/>
      <c r="H38" s="158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44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45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57" t="s">
        <v>46</v>
      </c>
      <c r="B42" s="159"/>
      <c r="C42" s="159"/>
      <c r="D42" s="159"/>
      <c r="E42" s="26"/>
      <c r="F42" s="159"/>
      <c r="G42" s="159"/>
      <c r="H42" s="159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57" t="s">
        <v>47</v>
      </c>
      <c r="B43" s="159"/>
      <c r="C43" s="159"/>
      <c r="D43" s="159"/>
      <c r="E43" s="26"/>
      <c r="F43" s="159"/>
      <c r="G43" s="159"/>
      <c r="H43" s="159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57"/>
      <c r="B44" s="159"/>
      <c r="C44" s="159"/>
      <c r="D44" s="159"/>
      <c r="E44" s="26"/>
      <c r="F44" s="159"/>
      <c r="G44" s="159"/>
      <c r="H44" s="159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57"/>
      <c r="B45" s="159"/>
      <c r="C45" s="159"/>
      <c r="D45" s="159"/>
      <c r="E45" s="26"/>
      <c r="F45" s="159"/>
      <c r="G45" s="159"/>
      <c r="H45" s="159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48</v>
      </c>
      <c r="B47" s="18"/>
      <c r="C47" s="18"/>
      <c r="D47" s="27" t="s">
        <v>48</v>
      </c>
      <c r="F47" s="18"/>
      <c r="H47" s="18"/>
      <c r="I47" s="18"/>
    </row>
    <row r="48" spans="1:1012" x14ac:dyDescent="0.35">
      <c r="A48" s="28" t="s">
        <v>49</v>
      </c>
      <c r="B48" s="18"/>
      <c r="C48" s="18"/>
      <c r="D48" s="28" t="s">
        <v>49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181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184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J23"/>
  <sheetViews>
    <sheetView topLeftCell="A13" zoomScaleNormal="100" zoomScaleSheetLayoutView="102" workbookViewId="0">
      <selection activeCell="E13" sqref="E13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149</v>
      </c>
      <c r="B1" s="1"/>
      <c r="C1" s="1"/>
      <c r="D1" s="1"/>
      <c r="E1" s="1"/>
      <c r="F1" s="1"/>
      <c r="G1" s="1"/>
      <c r="H1" s="1"/>
      <c r="I1" s="160" t="s">
        <v>50</v>
      </c>
      <c r="J1" s="1"/>
    </row>
    <row r="2" spans="1:10" s="30" customFormat="1" x14ac:dyDescent="0.35">
      <c r="A2" s="1" t="s">
        <v>51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124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0" t="s">
        <v>75</v>
      </c>
      <c r="F4" s="31"/>
      <c r="G4" s="90" t="s">
        <v>76</v>
      </c>
      <c r="H4" s="31"/>
      <c r="I4" s="90" t="s">
        <v>77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74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125</v>
      </c>
      <c r="E7" s="84">
        <v>0</v>
      </c>
      <c r="F7" s="84"/>
      <c r="G7" s="84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70</v>
      </c>
      <c r="E9" s="129">
        <f>+TB!C14</f>
        <v>6000</v>
      </c>
      <c r="F9" s="129"/>
      <c r="G9" s="129">
        <v>0</v>
      </c>
      <c r="H9" s="129"/>
      <c r="I9" s="62">
        <f>+E9</f>
        <v>6000</v>
      </c>
    </row>
    <row r="10" spans="1:10" x14ac:dyDescent="0.35">
      <c r="E10" s="129"/>
      <c r="F10" s="129"/>
      <c r="G10" s="129"/>
      <c r="H10" s="129"/>
      <c r="I10" s="62"/>
    </row>
    <row r="11" spans="1:10" x14ac:dyDescent="0.35">
      <c r="A11" s="13" t="s">
        <v>171</v>
      </c>
      <c r="E11" s="62">
        <v>0</v>
      </c>
      <c r="F11" s="62"/>
      <c r="G11" s="62" t="e">
        <f>+PL!D16</f>
        <v>#REF!</v>
      </c>
      <c r="H11" s="62"/>
      <c r="I11" s="62" t="e">
        <f>G11</f>
        <v>#REF!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126</v>
      </c>
      <c r="E13" s="180">
        <f>SUM(E7:E11)</f>
        <v>6000</v>
      </c>
      <c r="F13" s="196"/>
      <c r="G13" s="180" t="e">
        <f>SUM(G7:G11)</f>
        <v>#REF!</v>
      </c>
      <c r="H13" s="196"/>
      <c r="I13" s="180" t="e">
        <f>SUM(I7:I11)</f>
        <v>#REF!</v>
      </c>
    </row>
    <row r="14" spans="1:10" ht="15" thickTop="1" x14ac:dyDescent="0.35">
      <c r="E14" s="130"/>
      <c r="F14" s="130"/>
      <c r="G14" s="130"/>
      <c r="H14" s="130"/>
      <c r="I14" s="130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32</v>
      </c>
    </row>
    <row r="23" spans="1:9" x14ac:dyDescent="0.35">
      <c r="A23" s="18" t="s">
        <v>33</v>
      </c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I43"/>
  <sheetViews>
    <sheetView topLeftCell="A10" zoomScaleNormal="100" zoomScaleSheetLayoutView="95" workbookViewId="0">
      <selection activeCell="I6" sqref="I6"/>
    </sheetView>
  </sheetViews>
  <sheetFormatPr defaultColWidth="8.88671875" defaultRowHeight="14.4" x14ac:dyDescent="0.35"/>
  <cols>
    <col min="1" max="1" width="2.88671875" style="177" customWidth="1"/>
    <col min="2" max="2" width="30.44140625" style="177" customWidth="1"/>
    <col min="3" max="3" width="16.77734375" style="177" customWidth="1"/>
    <col min="4" max="4" width="14.6640625" style="177" customWidth="1"/>
    <col min="5" max="5" width="9" style="177" customWidth="1"/>
    <col min="6" max="6" width="0.6640625" style="177" customWidth="1"/>
    <col min="7" max="7" width="13.109375" style="177" customWidth="1"/>
    <col min="8" max="8" width="12.33203125" style="177" bestFit="1" customWidth="1"/>
    <col min="9" max="9" width="14.109375" style="177" bestFit="1" customWidth="1"/>
    <col min="10" max="16384" width="8.88671875" style="177"/>
  </cols>
  <sheetData>
    <row r="1" spans="1:8" x14ac:dyDescent="0.35">
      <c r="A1" s="179" t="s">
        <v>149</v>
      </c>
      <c r="E1" s="179"/>
      <c r="F1" s="179"/>
      <c r="G1" s="215" t="s">
        <v>64</v>
      </c>
      <c r="H1" s="179"/>
    </row>
    <row r="2" spans="1:8" s="174" customFormat="1" x14ac:dyDescent="0.35">
      <c r="A2" s="179" t="s">
        <v>52</v>
      </c>
      <c r="E2" s="179"/>
      <c r="F2" s="179"/>
      <c r="G2" s="189"/>
      <c r="H2" s="179"/>
    </row>
    <row r="3" spans="1:8" x14ac:dyDescent="0.35">
      <c r="A3" s="174" t="str">
        <f>+PL!A3</f>
        <v>FOR THE YEAR PERIOD 31ST MARCH</v>
      </c>
      <c r="B3" s="179"/>
      <c r="C3" s="179"/>
      <c r="D3" s="179"/>
      <c r="E3" s="179"/>
      <c r="F3" s="179"/>
      <c r="G3" s="184">
        <v>2025</v>
      </c>
      <c r="H3" s="179"/>
    </row>
    <row r="4" spans="1:8" x14ac:dyDescent="0.35">
      <c r="G4" s="192" t="s">
        <v>11</v>
      </c>
    </row>
    <row r="5" spans="1:8" x14ac:dyDescent="0.35">
      <c r="F5" s="183"/>
    </row>
    <row r="6" spans="1:8" x14ac:dyDescent="0.35">
      <c r="A6" s="174" t="s">
        <v>53</v>
      </c>
      <c r="F6" s="183"/>
      <c r="G6" s="186"/>
    </row>
    <row r="7" spans="1:8" x14ac:dyDescent="0.35">
      <c r="A7" s="178" t="s">
        <v>54</v>
      </c>
      <c r="F7" s="199"/>
      <c r="G7" s="203" t="e">
        <f>+PL!D12</f>
        <v>#REF!</v>
      </c>
    </row>
    <row r="8" spans="1:8" x14ac:dyDescent="0.35">
      <c r="A8" s="177" t="s">
        <v>25</v>
      </c>
      <c r="F8" s="185"/>
      <c r="G8" s="204"/>
    </row>
    <row r="9" spans="1:8" x14ac:dyDescent="0.35">
      <c r="B9" s="181" t="s">
        <v>129</v>
      </c>
      <c r="C9" s="181"/>
      <c r="D9" s="181"/>
      <c r="F9" s="185"/>
      <c r="G9" s="204" t="e">
        <f>'P09'!D22</f>
        <v>#REF!</v>
      </c>
    </row>
    <row r="10" spans="1:8" x14ac:dyDescent="0.35">
      <c r="A10" s="174" t="s">
        <v>55</v>
      </c>
      <c r="F10" s="185"/>
      <c r="G10" s="205" t="e">
        <f>SUM(G7:G9)</f>
        <v>#REF!</v>
      </c>
    </row>
    <row r="11" spans="1:8" x14ac:dyDescent="0.35">
      <c r="F11" s="185"/>
      <c r="G11" s="204"/>
    </row>
    <row r="12" spans="1:8" x14ac:dyDescent="0.35">
      <c r="B12" s="181" t="s">
        <v>172</v>
      </c>
      <c r="C12" s="181"/>
      <c r="D12" s="181"/>
      <c r="F12" s="185"/>
      <c r="G12" s="204">
        <f>-BS!E12</f>
        <v>-112919.5</v>
      </c>
    </row>
    <row r="13" spans="1:8" x14ac:dyDescent="0.35">
      <c r="B13" s="181" t="s">
        <v>182</v>
      </c>
      <c r="C13" s="181"/>
      <c r="D13" s="181"/>
      <c r="F13" s="185"/>
      <c r="G13" s="204" t="e">
        <f>BS!E26</f>
        <v>#REF!</v>
      </c>
    </row>
    <row r="14" spans="1:8" x14ac:dyDescent="0.35">
      <c r="B14" s="181" t="s">
        <v>102</v>
      </c>
      <c r="C14" s="181"/>
      <c r="D14" s="181"/>
      <c r="F14" s="185"/>
      <c r="G14" s="204">
        <f>BS!E27</f>
        <v>1000000</v>
      </c>
    </row>
    <row r="15" spans="1:8" x14ac:dyDescent="0.35">
      <c r="A15" s="174" t="s">
        <v>56</v>
      </c>
      <c r="F15" s="185"/>
      <c r="G15" s="205" t="e">
        <f>SUM(G10:G14)</f>
        <v>#REF!</v>
      </c>
    </row>
    <row r="16" spans="1:8" x14ac:dyDescent="0.35">
      <c r="F16" s="185"/>
      <c r="G16" s="204"/>
    </row>
    <row r="17" spans="1:7" x14ac:dyDescent="0.35">
      <c r="B17" s="177" t="s">
        <v>24</v>
      </c>
      <c r="F17" s="185"/>
      <c r="G17" s="204">
        <v>0</v>
      </c>
    </row>
    <row r="18" spans="1:7" x14ac:dyDescent="0.35">
      <c r="F18" s="185"/>
      <c r="G18" s="206">
        <f>SUM(G17:G17)</f>
        <v>0</v>
      </c>
    </row>
    <row r="19" spans="1:7" x14ac:dyDescent="0.35">
      <c r="A19" s="174" t="s">
        <v>57</v>
      </c>
      <c r="E19" s="174"/>
      <c r="F19" s="185"/>
      <c r="G19" s="206" t="e">
        <f>SUM(G18+G15)</f>
        <v>#REF!</v>
      </c>
    </row>
    <row r="20" spans="1:7" x14ac:dyDescent="0.35">
      <c r="F20" s="185"/>
      <c r="G20" s="204"/>
    </row>
    <row r="21" spans="1:7" x14ac:dyDescent="0.35">
      <c r="A21" s="174" t="s">
        <v>58</v>
      </c>
      <c r="F21" s="185"/>
      <c r="G21" s="204"/>
    </row>
    <row r="22" spans="1:7" x14ac:dyDescent="0.35">
      <c r="B22" s="178" t="s">
        <v>143</v>
      </c>
      <c r="F22" s="185"/>
      <c r="G22" s="204" t="e">
        <f>-'P10'!G12</f>
        <v>#REF!</v>
      </c>
    </row>
    <row r="23" spans="1:7" x14ac:dyDescent="0.35">
      <c r="A23" s="174" t="s">
        <v>59</v>
      </c>
      <c r="E23" s="174"/>
      <c r="F23" s="185"/>
      <c r="G23" s="206" t="e">
        <f>SUM(G22)</f>
        <v>#REF!</v>
      </c>
    </row>
    <row r="24" spans="1:7" x14ac:dyDescent="0.35">
      <c r="F24" s="185"/>
      <c r="G24" s="204"/>
    </row>
    <row r="25" spans="1:7" x14ac:dyDescent="0.35">
      <c r="A25" s="174" t="s">
        <v>60</v>
      </c>
      <c r="F25" s="185"/>
      <c r="G25" s="204"/>
    </row>
    <row r="26" spans="1:7" x14ac:dyDescent="0.35">
      <c r="B26" s="177" t="s">
        <v>70</v>
      </c>
      <c r="F26" s="185"/>
      <c r="G26" s="204">
        <f>+BS!E19</f>
        <v>6000</v>
      </c>
    </row>
    <row r="27" spans="1:7" x14ac:dyDescent="0.35">
      <c r="A27" s="174" t="s">
        <v>61</v>
      </c>
      <c r="F27" s="185"/>
      <c r="G27" s="206">
        <f>SUM(G26)</f>
        <v>6000</v>
      </c>
    </row>
    <row r="28" spans="1:7" x14ac:dyDescent="0.35">
      <c r="A28" s="174" t="s">
        <v>65</v>
      </c>
      <c r="F28" s="185"/>
      <c r="G28" s="204" t="e">
        <f>+G19+G23+G27</f>
        <v>#REF!</v>
      </c>
    </row>
    <row r="29" spans="1:7" x14ac:dyDescent="0.35">
      <c r="B29" s="177" t="s">
        <v>62</v>
      </c>
      <c r="F29" s="185"/>
      <c r="G29" s="204">
        <v>0</v>
      </c>
    </row>
    <row r="30" spans="1:7" ht="15" thickBot="1" x14ac:dyDescent="0.4">
      <c r="B30" s="177" t="s">
        <v>63</v>
      </c>
      <c r="F30" s="185"/>
      <c r="G30" s="207" t="e">
        <f>SUM(G28:G29)</f>
        <v>#REF!</v>
      </c>
    </row>
    <row r="31" spans="1:7" ht="15" thickTop="1" x14ac:dyDescent="0.35">
      <c r="F31" s="185"/>
      <c r="G31" s="204"/>
    </row>
    <row r="32" spans="1:7" s="178" customFormat="1" x14ac:dyDescent="0.35">
      <c r="A32" s="175" t="s">
        <v>145</v>
      </c>
      <c r="C32" s="172"/>
      <c r="F32" s="195"/>
    </row>
    <row r="33" spans="1:9" s="178" customFormat="1" x14ac:dyDescent="0.35">
      <c r="B33" s="188" t="s">
        <v>144</v>
      </c>
      <c r="G33" s="194">
        <v>0</v>
      </c>
    </row>
    <row r="34" spans="1:9" s="178" customFormat="1" ht="15" thickBot="1" x14ac:dyDescent="0.4">
      <c r="G34" s="216">
        <f>SUM(F33:F33)</f>
        <v>0</v>
      </c>
    </row>
    <row r="35" spans="1:9" s="178" customFormat="1" ht="15" thickTop="1" x14ac:dyDescent="0.35"/>
    <row r="36" spans="1:9" s="178" customFormat="1" x14ac:dyDescent="0.35">
      <c r="A36" s="175" t="s">
        <v>146</v>
      </c>
      <c r="G36" s="195"/>
    </row>
    <row r="37" spans="1:9" s="178" customFormat="1" x14ac:dyDescent="0.35">
      <c r="B37" s="188" t="s">
        <v>144</v>
      </c>
      <c r="D37" s="187"/>
      <c r="E37" s="187"/>
      <c r="G37" s="194">
        <f>'P11'!J7</f>
        <v>12560</v>
      </c>
    </row>
    <row r="38" spans="1:9" s="178" customFormat="1" ht="15" thickBot="1" x14ac:dyDescent="0.4">
      <c r="A38" s="175"/>
      <c r="G38" s="216">
        <f>SUM(G37:G37)</f>
        <v>12560</v>
      </c>
      <c r="H38" s="190" t="e">
        <f>G30-G38</f>
        <v>#REF!</v>
      </c>
      <c r="I38" s="190"/>
    </row>
    <row r="39" spans="1:9" ht="15" thickTop="1" x14ac:dyDescent="0.35"/>
    <row r="41" spans="1:9" x14ac:dyDescent="0.35">
      <c r="A41" s="177" t="s">
        <v>32</v>
      </c>
    </row>
    <row r="43" spans="1:9" x14ac:dyDescent="0.35">
      <c r="A43" s="178" t="s">
        <v>33</v>
      </c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I35"/>
  <sheetViews>
    <sheetView topLeftCell="A22" zoomScaleNormal="100" zoomScaleSheetLayoutView="100" workbookViewId="0">
      <selection activeCell="G9" sqref="G9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149</v>
      </c>
      <c r="B1" s="34"/>
      <c r="C1" s="34"/>
      <c r="D1" s="160" t="s">
        <v>66</v>
      </c>
      <c r="E1" s="34"/>
      <c r="F1" s="38"/>
      <c r="G1" s="66"/>
    </row>
    <row r="2" spans="1:9" x14ac:dyDescent="0.35">
      <c r="A2" s="30" t="s">
        <v>78</v>
      </c>
      <c r="B2" s="35"/>
      <c r="C2" s="35"/>
      <c r="D2" s="81"/>
      <c r="E2" s="67"/>
      <c r="F2" s="38"/>
      <c r="G2" s="66"/>
    </row>
    <row r="3" spans="1:9" x14ac:dyDescent="0.35">
      <c r="A3" s="11" t="s">
        <v>166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68</v>
      </c>
      <c r="C6" s="3"/>
      <c r="E6" s="1"/>
      <c r="F6" s="51"/>
      <c r="G6" s="70"/>
    </row>
    <row r="7" spans="1:9" x14ac:dyDescent="0.35">
      <c r="A7" s="3"/>
      <c r="B7" s="2" t="s">
        <v>148</v>
      </c>
      <c r="D7" s="73">
        <f>+TB!C18</f>
        <v>2328236</v>
      </c>
      <c r="E7" s="1"/>
      <c r="F7" s="51"/>
      <c r="G7" s="70"/>
    </row>
    <row r="8" spans="1:9" ht="15" thickBot="1" x14ac:dyDescent="0.4">
      <c r="D8" s="116">
        <f>D7</f>
        <v>2328236</v>
      </c>
      <c r="F8" s="71"/>
      <c r="G8" s="72"/>
      <c r="I8" s="73"/>
    </row>
    <row r="9" spans="1:9" ht="15" thickTop="1" x14ac:dyDescent="0.35">
      <c r="D9" s="121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167</v>
      </c>
      <c r="C11" s="3"/>
      <c r="D11" s="73">
        <f>TB!B20</f>
        <v>1220000</v>
      </c>
      <c r="E11" s="1"/>
      <c r="F11" s="51"/>
      <c r="G11" s="70"/>
    </row>
    <row r="12" spans="1:9" x14ac:dyDescent="0.35">
      <c r="A12" s="3"/>
      <c r="B12" s="2" t="s">
        <v>135</v>
      </c>
      <c r="C12" s="76"/>
      <c r="D12" s="120" t="e">
        <f>TB!#REF!</f>
        <v>#REF!</v>
      </c>
      <c r="E12" s="1"/>
      <c r="F12" s="38"/>
      <c r="G12" s="70"/>
    </row>
    <row r="13" spans="1:9" x14ac:dyDescent="0.35">
      <c r="A13" s="3"/>
      <c r="B13" s="2" t="s">
        <v>164</v>
      </c>
      <c r="C13" s="76"/>
      <c r="D13" s="120" t="e">
        <f>TB!#REF!</f>
        <v>#REF!</v>
      </c>
      <c r="E13" s="1"/>
      <c r="F13" s="38"/>
      <c r="G13" s="70"/>
    </row>
    <row r="14" spans="1:9" x14ac:dyDescent="0.35">
      <c r="A14" s="3"/>
      <c r="B14" s="2" t="s">
        <v>161</v>
      </c>
      <c r="C14" s="76"/>
      <c r="D14" s="120" t="e">
        <f>TB!#REF!</f>
        <v>#REF!</v>
      </c>
      <c r="E14" s="1"/>
      <c r="F14" s="38"/>
      <c r="G14" s="70"/>
    </row>
    <row r="15" spans="1:9" x14ac:dyDescent="0.35">
      <c r="A15" s="3"/>
      <c r="B15" s="2" t="s">
        <v>147</v>
      </c>
      <c r="C15" s="76"/>
      <c r="D15" s="120" t="e">
        <f>+TB!#REF!</f>
        <v>#REF!</v>
      </c>
      <c r="E15" s="1"/>
      <c r="F15" s="38"/>
      <c r="G15" s="70"/>
    </row>
    <row r="16" spans="1:9" x14ac:dyDescent="0.35">
      <c r="A16" s="3"/>
      <c r="B16" s="2" t="s">
        <v>163</v>
      </c>
      <c r="C16" s="76"/>
      <c r="D16" s="120" t="e">
        <f>+TB!#REF!+TB!#REF!</f>
        <v>#REF!</v>
      </c>
      <c r="E16" s="1"/>
      <c r="F16" s="38"/>
      <c r="G16" s="70"/>
    </row>
    <row r="17" spans="1:7" x14ac:dyDescent="0.35">
      <c r="A17" s="3"/>
      <c r="B17" s="2" t="s">
        <v>106</v>
      </c>
      <c r="C17" s="76"/>
      <c r="D17" s="120" t="e">
        <f>TB!#REF!</f>
        <v>#REF!</v>
      </c>
      <c r="E17" s="1"/>
      <c r="F17" s="38"/>
      <c r="G17" s="70"/>
    </row>
    <row r="18" spans="1:7" x14ac:dyDescent="0.35">
      <c r="A18" s="3"/>
      <c r="B18" s="2" t="s">
        <v>136</v>
      </c>
      <c r="C18" s="76"/>
      <c r="D18" s="120" t="e">
        <f>TB!#REF!</f>
        <v>#REF!</v>
      </c>
      <c r="E18" s="1"/>
      <c r="F18" s="38"/>
      <c r="G18" s="70"/>
    </row>
    <row r="19" spans="1:7" x14ac:dyDescent="0.35">
      <c r="A19" s="3"/>
      <c r="B19" s="2" t="s">
        <v>137</v>
      </c>
      <c r="C19" s="76"/>
      <c r="D19" s="120" t="e">
        <f>TB!#REF!</f>
        <v>#REF!</v>
      </c>
      <c r="E19" s="1"/>
      <c r="F19" s="38"/>
      <c r="G19" s="70"/>
    </row>
    <row r="20" spans="1:7" x14ac:dyDescent="0.35">
      <c r="A20" s="3"/>
      <c r="B20" s="2" t="s">
        <v>153</v>
      </c>
      <c r="C20" s="76"/>
      <c r="D20" s="120" t="e">
        <f>TB!#REF!</f>
        <v>#REF!</v>
      </c>
      <c r="E20" s="1"/>
      <c r="F20" s="38"/>
      <c r="G20" s="70"/>
    </row>
    <row r="21" spans="1:7" x14ac:dyDescent="0.35">
      <c r="A21" s="3"/>
      <c r="B21" s="2" t="s">
        <v>168</v>
      </c>
      <c r="C21" s="76"/>
      <c r="D21" s="120" t="e">
        <f>TB!#REF!</f>
        <v>#REF!</v>
      </c>
      <c r="E21" s="1"/>
      <c r="F21" s="38"/>
      <c r="G21" s="70"/>
    </row>
    <row r="22" spans="1:7" x14ac:dyDescent="0.35">
      <c r="A22" s="3"/>
      <c r="B22" s="2" t="s">
        <v>138</v>
      </c>
      <c r="C22" s="76"/>
      <c r="D22" s="120" t="e">
        <f>TB!#REF!</f>
        <v>#REF!</v>
      </c>
      <c r="E22" s="1"/>
      <c r="F22" s="38"/>
      <c r="G22" s="70"/>
    </row>
    <row r="23" spans="1:7" x14ac:dyDescent="0.35">
      <c r="A23" s="3"/>
      <c r="B23" s="2" t="s">
        <v>99</v>
      </c>
      <c r="C23" s="76"/>
      <c r="D23" s="120" t="e">
        <f>TB!#REF!</f>
        <v>#REF!</v>
      </c>
      <c r="E23" s="1"/>
      <c r="F23" s="38"/>
      <c r="G23" s="70"/>
    </row>
    <row r="24" spans="1:7" x14ac:dyDescent="0.35">
      <c r="A24" s="3"/>
      <c r="B24" s="2" t="s">
        <v>139</v>
      </c>
      <c r="C24" s="76"/>
      <c r="D24" s="120">
        <f>+TB!B22</f>
        <v>15000</v>
      </c>
      <c r="E24" s="1"/>
      <c r="F24" s="38"/>
      <c r="G24" s="70"/>
    </row>
    <row r="25" spans="1:7" x14ac:dyDescent="0.35">
      <c r="A25" s="3"/>
      <c r="B25" s="2" t="s">
        <v>100</v>
      </c>
      <c r="C25" s="76"/>
      <c r="D25" s="120">
        <f>+TB!B23</f>
        <v>25000</v>
      </c>
      <c r="E25" s="1"/>
      <c r="F25" s="38"/>
      <c r="G25" s="70"/>
    </row>
    <row r="26" spans="1:7" ht="15" thickBot="1" x14ac:dyDescent="0.4">
      <c r="D26" s="116" t="e">
        <f>SUM(D11:D25)</f>
        <v>#REF!</v>
      </c>
      <c r="E26" s="46"/>
      <c r="F26" s="52"/>
      <c r="G26" s="75"/>
    </row>
    <row r="27" spans="1:7" ht="14.25" customHeight="1" thickTop="1" x14ac:dyDescent="0.35">
      <c r="B27" s="6"/>
      <c r="C27" s="76"/>
      <c r="D27" s="120"/>
      <c r="F27" s="38"/>
      <c r="G27" s="66"/>
    </row>
    <row r="28" spans="1:7" x14ac:dyDescent="0.35">
      <c r="A28" s="3">
        <v>6</v>
      </c>
      <c r="B28" s="1" t="s">
        <v>34</v>
      </c>
      <c r="C28" s="3"/>
      <c r="D28" s="2"/>
    </row>
    <row r="29" spans="1:7" x14ac:dyDescent="0.35">
      <c r="B29" s="2" t="s">
        <v>152</v>
      </c>
      <c r="C29" s="3"/>
      <c r="D29" s="121" t="e">
        <f>+TB!#REF!</f>
        <v>#REF!</v>
      </c>
    </row>
    <row r="30" spans="1:7" ht="15" thickBot="1" x14ac:dyDescent="0.4">
      <c r="B30" s="1"/>
      <c r="C30" s="3"/>
      <c r="D30" s="116" t="e">
        <f>SUM(D29)</f>
        <v>#REF!</v>
      </c>
    </row>
    <row r="31" spans="1:7" ht="15" thickTop="1" x14ac:dyDescent="0.35">
      <c r="B31" s="1"/>
      <c r="C31" s="3"/>
      <c r="D31" s="121"/>
    </row>
    <row r="32" spans="1:7" x14ac:dyDescent="0.35">
      <c r="A32" s="9">
        <v>7</v>
      </c>
      <c r="B32" s="30" t="s">
        <v>35</v>
      </c>
    </row>
    <row r="33" spans="1:4" x14ac:dyDescent="0.35">
      <c r="A33" s="65"/>
      <c r="B33" s="13" t="s">
        <v>103</v>
      </c>
      <c r="D33" s="115">
        <f>TB!B21</f>
        <v>0</v>
      </c>
    </row>
    <row r="34" spans="1:4" ht="15" thickBot="1" x14ac:dyDescent="0.4">
      <c r="D34" s="117">
        <f>+D33</f>
        <v>0</v>
      </c>
    </row>
    <row r="35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MD52"/>
  <sheetViews>
    <sheetView topLeftCell="A19" zoomScaleNormal="100" zoomScaleSheetLayoutView="100" workbookViewId="0">
      <selection activeCell="K8" sqref="K8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149</v>
      </c>
      <c r="B1" s="1"/>
      <c r="C1" s="1"/>
      <c r="D1" s="1"/>
      <c r="E1" s="1"/>
      <c r="F1" s="1"/>
      <c r="G1" s="1"/>
      <c r="H1" s="1"/>
      <c r="I1" s="1"/>
      <c r="J1" s="160" t="s">
        <v>67</v>
      </c>
    </row>
    <row r="2" spans="1:13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2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2" t="s">
        <v>143</v>
      </c>
      <c r="C4" s="37"/>
      <c r="D4" s="37"/>
    </row>
    <row r="5" spans="1:13" ht="28.8" x14ac:dyDescent="0.35">
      <c r="A5" s="36"/>
      <c r="B5" s="96" t="s">
        <v>26</v>
      </c>
      <c r="C5" s="37"/>
      <c r="D5" s="37"/>
      <c r="E5" s="39" t="s">
        <v>111</v>
      </c>
      <c r="F5" s="39"/>
      <c r="G5" s="40" t="s">
        <v>13</v>
      </c>
      <c r="H5" s="41" t="s">
        <v>14</v>
      </c>
      <c r="I5" s="42"/>
      <c r="J5" s="43" t="s">
        <v>112</v>
      </c>
    </row>
    <row r="6" spans="1:13" x14ac:dyDescent="0.35">
      <c r="A6" s="36"/>
      <c r="B6" s="44" t="str">
        <f>+TB!A8</f>
        <v>Furniture &amp; Fittings</v>
      </c>
      <c r="C6" s="44"/>
      <c r="D6" s="44"/>
      <c r="E6" s="131">
        <v>0</v>
      </c>
      <c r="F6" s="131"/>
      <c r="G6" s="131">
        <f>TB!B8</f>
        <v>153700</v>
      </c>
      <c r="H6" s="118"/>
      <c r="I6" s="119"/>
      <c r="J6" s="118">
        <f>SUM(E6:G6)</f>
        <v>153700</v>
      </c>
    </row>
    <row r="7" spans="1:13" x14ac:dyDescent="0.35">
      <c r="A7" s="36"/>
      <c r="B7" s="44" t="e">
        <f>+TB!#REF!</f>
        <v>#REF!</v>
      </c>
      <c r="C7" s="44"/>
      <c r="D7" s="44"/>
      <c r="E7" s="131">
        <v>0</v>
      </c>
      <c r="F7" s="131"/>
      <c r="G7" s="131" t="e">
        <f>TB!#REF!</f>
        <v>#REF!</v>
      </c>
      <c r="H7" s="118"/>
      <c r="I7" s="119"/>
      <c r="J7" s="118" t="e">
        <f t="shared" ref="J7:J11" si="0">SUM(E7:G7)</f>
        <v>#REF!</v>
      </c>
    </row>
    <row r="8" spans="1:13" x14ac:dyDescent="0.35">
      <c r="A8" s="36"/>
      <c r="B8" s="44" t="e">
        <f>+TB!#REF!</f>
        <v>#REF!</v>
      </c>
      <c r="C8" s="44"/>
      <c r="D8" s="44"/>
      <c r="E8" s="131">
        <v>0</v>
      </c>
      <c r="F8" s="131"/>
      <c r="G8" s="131" t="e">
        <f>TB!#REF!</f>
        <v>#REF!</v>
      </c>
      <c r="H8" s="118"/>
      <c r="I8" s="119"/>
      <c r="J8" s="118" t="e">
        <f t="shared" si="0"/>
        <v>#REF!</v>
      </c>
    </row>
    <row r="9" spans="1:13" x14ac:dyDescent="0.35">
      <c r="A9" s="36"/>
      <c r="B9" s="44" t="e">
        <f>+TB!#REF!</f>
        <v>#REF!</v>
      </c>
      <c r="C9" s="44"/>
      <c r="D9" s="44"/>
      <c r="E9" s="131">
        <v>0</v>
      </c>
      <c r="F9" s="131"/>
      <c r="G9" s="131" t="e">
        <f>TB!#REF!</f>
        <v>#REF!</v>
      </c>
      <c r="H9" s="118"/>
      <c r="I9" s="119"/>
      <c r="J9" s="118" t="e">
        <f t="shared" si="0"/>
        <v>#REF!</v>
      </c>
    </row>
    <row r="10" spans="1:13" x14ac:dyDescent="0.35">
      <c r="A10" s="36"/>
      <c r="B10" s="44" t="e">
        <f>+TB!#REF!</f>
        <v>#REF!</v>
      </c>
      <c r="C10" s="44"/>
      <c r="D10" s="44"/>
      <c r="E10" s="131">
        <v>0</v>
      </c>
      <c r="F10" s="131"/>
      <c r="G10" s="131" t="e">
        <f>TB!#REF!</f>
        <v>#REF!</v>
      </c>
      <c r="H10" s="118"/>
      <c r="I10" s="119"/>
      <c r="J10" s="118" t="e">
        <f t="shared" si="0"/>
        <v>#REF!</v>
      </c>
    </row>
    <row r="11" spans="1:13" x14ac:dyDescent="0.35">
      <c r="A11" s="36"/>
      <c r="B11" s="44" t="e">
        <f>+TB!#REF!</f>
        <v>#REF!</v>
      </c>
      <c r="C11" s="44"/>
      <c r="D11" s="44"/>
      <c r="E11" s="131">
        <v>0</v>
      </c>
      <c r="F11" s="131"/>
      <c r="G11" s="131" t="e">
        <f>TB!#REF!</f>
        <v>#REF!</v>
      </c>
      <c r="H11" s="118"/>
      <c r="I11" s="119"/>
      <c r="J11" s="118" t="e">
        <f t="shared" si="0"/>
        <v>#REF!</v>
      </c>
    </row>
    <row r="12" spans="1:13" ht="15" thickBot="1" x14ac:dyDescent="0.4">
      <c r="A12" s="36"/>
      <c r="B12" s="44"/>
      <c r="C12" s="44"/>
      <c r="D12" s="44"/>
      <c r="E12" s="132">
        <f>SUM(E6:E11)</f>
        <v>0</v>
      </c>
      <c r="F12" s="131"/>
      <c r="G12" s="132" t="e">
        <f>SUM(G6:G11)</f>
        <v>#REF!</v>
      </c>
      <c r="H12" s="118"/>
      <c r="I12" s="119"/>
      <c r="J12" s="132" t="e">
        <f>SUM(J6:J11)</f>
        <v>#REF!</v>
      </c>
    </row>
    <row r="13" spans="1:13" ht="15" thickTop="1" x14ac:dyDescent="0.35">
      <c r="A13" s="36"/>
      <c r="B13" s="37"/>
      <c r="C13" s="37"/>
      <c r="D13" s="37"/>
      <c r="E13" s="47"/>
      <c r="F13" s="47"/>
      <c r="G13" s="47"/>
      <c r="H13" s="47"/>
      <c r="I13" s="47"/>
      <c r="J13" s="46"/>
    </row>
    <row r="14" spans="1:13" x14ac:dyDescent="0.35">
      <c r="A14" s="36"/>
      <c r="B14" s="37"/>
      <c r="C14" s="37"/>
      <c r="D14" s="37"/>
      <c r="E14" s="47"/>
      <c r="F14" s="47"/>
      <c r="G14" s="47"/>
      <c r="H14" s="17"/>
      <c r="I14" s="17"/>
      <c r="J14" s="17"/>
    </row>
    <row r="15" spans="1:13" ht="28.8" x14ac:dyDescent="0.35">
      <c r="A15" s="36"/>
      <c r="B15" s="36" t="s">
        <v>113</v>
      </c>
      <c r="C15" s="37"/>
      <c r="D15" s="37"/>
      <c r="E15" s="39" t="s">
        <v>111</v>
      </c>
      <c r="F15" s="39"/>
      <c r="G15" s="39" t="s">
        <v>15</v>
      </c>
      <c r="H15" s="41" t="s">
        <v>14</v>
      </c>
      <c r="I15" s="42"/>
      <c r="J15" s="43" t="s">
        <v>112</v>
      </c>
      <c r="M15" s="49"/>
    </row>
    <row r="16" spans="1:13" x14ac:dyDescent="0.35">
      <c r="A16" s="50"/>
      <c r="B16" s="44" t="str">
        <f t="shared" ref="B16:B21" si="1">B6</f>
        <v>Furniture &amp; Fittings</v>
      </c>
      <c r="C16" s="44"/>
      <c r="D16" s="44"/>
      <c r="E16" s="131">
        <v>0</v>
      </c>
      <c r="F16" s="131"/>
      <c r="G16" s="118">
        <f>PPE!G4</f>
        <v>28887.178082191782</v>
      </c>
      <c r="H16" s="118"/>
      <c r="I16" s="119"/>
      <c r="J16" s="144">
        <f>SUM(E16:G16)</f>
        <v>28887.178082191782</v>
      </c>
    </row>
    <row r="17" spans="1:10" x14ac:dyDescent="0.35">
      <c r="A17" s="50"/>
      <c r="B17" s="44" t="e">
        <f t="shared" si="1"/>
        <v>#REF!</v>
      </c>
      <c r="C17" s="44"/>
      <c r="D17" s="44"/>
      <c r="E17" s="131">
        <v>0</v>
      </c>
      <c r="F17" s="131"/>
      <c r="G17" s="118" t="e">
        <f>PPE!#REF!</f>
        <v>#REF!</v>
      </c>
      <c r="H17" s="118"/>
      <c r="I17" s="119"/>
      <c r="J17" s="144" t="e">
        <f t="shared" ref="J17:J21" si="2">SUM(E17:G17)</f>
        <v>#REF!</v>
      </c>
    </row>
    <row r="18" spans="1:10" x14ac:dyDescent="0.35">
      <c r="A18" s="50"/>
      <c r="B18" s="44" t="e">
        <f t="shared" si="1"/>
        <v>#REF!</v>
      </c>
      <c r="C18" s="44"/>
      <c r="D18" s="44"/>
      <c r="E18" s="131">
        <v>0</v>
      </c>
      <c r="F18" s="131"/>
      <c r="G18" s="118" t="e">
        <f>PPE!#REF!</f>
        <v>#REF!</v>
      </c>
      <c r="H18" s="118"/>
      <c r="I18" s="119"/>
      <c r="J18" s="144" t="e">
        <f t="shared" si="2"/>
        <v>#REF!</v>
      </c>
    </row>
    <row r="19" spans="1:10" x14ac:dyDescent="0.35">
      <c r="A19" s="50"/>
      <c r="B19" s="44" t="e">
        <f t="shared" si="1"/>
        <v>#REF!</v>
      </c>
      <c r="C19" s="44"/>
      <c r="D19" s="44"/>
      <c r="E19" s="131">
        <v>0</v>
      </c>
      <c r="F19" s="131"/>
      <c r="G19" s="118" t="e">
        <f>PPE!#REF!</f>
        <v>#REF!</v>
      </c>
      <c r="H19" s="118"/>
      <c r="I19" s="119"/>
      <c r="J19" s="144" t="e">
        <f t="shared" si="2"/>
        <v>#REF!</v>
      </c>
    </row>
    <row r="20" spans="1:10" x14ac:dyDescent="0.35">
      <c r="A20" s="50"/>
      <c r="B20" s="44" t="e">
        <f t="shared" si="1"/>
        <v>#REF!</v>
      </c>
      <c r="C20" s="44"/>
      <c r="D20" s="44"/>
      <c r="E20" s="131">
        <v>0</v>
      </c>
      <c r="F20" s="131"/>
      <c r="G20" s="118" t="e">
        <f>PPE!#REF!</f>
        <v>#REF!</v>
      </c>
      <c r="H20" s="118"/>
      <c r="I20" s="119"/>
      <c r="J20" s="144" t="e">
        <f t="shared" si="2"/>
        <v>#REF!</v>
      </c>
    </row>
    <row r="21" spans="1:10" x14ac:dyDescent="0.35">
      <c r="A21" s="50"/>
      <c r="B21" s="44" t="e">
        <f t="shared" si="1"/>
        <v>#REF!</v>
      </c>
      <c r="C21" s="44"/>
      <c r="D21" s="44"/>
      <c r="E21" s="131">
        <v>0</v>
      </c>
      <c r="F21" s="131"/>
      <c r="G21" s="118" t="e">
        <f>PPE!#REF!</f>
        <v>#REF!</v>
      </c>
      <c r="H21" s="118"/>
      <c r="I21" s="119"/>
      <c r="J21" s="144" t="e">
        <f t="shared" si="2"/>
        <v>#REF!</v>
      </c>
    </row>
    <row r="22" spans="1:10" ht="15" thickBot="1" x14ac:dyDescent="0.4">
      <c r="A22" s="50"/>
      <c r="B22" s="44"/>
      <c r="C22" s="44"/>
      <c r="D22" s="44"/>
      <c r="E22" s="132">
        <f>SUM(E16:E21)</f>
        <v>0</v>
      </c>
      <c r="F22" s="131"/>
      <c r="G22" s="182" t="e">
        <f>SUM(G16:G21)</f>
        <v>#REF!</v>
      </c>
      <c r="H22" s="118"/>
      <c r="I22" s="119"/>
      <c r="J22" s="132" t="e">
        <f>SUM(J16:J21)</f>
        <v>#REF!</v>
      </c>
    </row>
    <row r="23" spans="1:10" ht="15" thickTop="1" x14ac:dyDescent="0.35">
      <c r="A23" s="36"/>
      <c r="B23" s="44"/>
      <c r="C23" s="44"/>
      <c r="D23" s="44"/>
      <c r="E23" s="45"/>
      <c r="F23" s="45"/>
      <c r="G23" s="51"/>
      <c r="H23" s="48"/>
      <c r="I23" s="46"/>
      <c r="J23" s="38"/>
    </row>
    <row r="24" spans="1:10" ht="28.8" x14ac:dyDescent="0.35">
      <c r="A24" s="2"/>
      <c r="B24" s="96" t="s">
        <v>80</v>
      </c>
      <c r="J24" s="90" t="s">
        <v>134</v>
      </c>
    </row>
    <row r="25" spans="1:10" x14ac:dyDescent="0.35">
      <c r="A25" s="2"/>
      <c r="B25" s="44" t="str">
        <f t="shared" ref="B25:B30" si="3">B16</f>
        <v>Furniture &amp; Fittings</v>
      </c>
      <c r="J25" s="74">
        <f t="shared" ref="J25:J30" si="4">J6-J16</f>
        <v>124812.82191780822</v>
      </c>
    </row>
    <row r="26" spans="1:10" x14ac:dyDescent="0.35">
      <c r="A26" s="2"/>
      <c r="B26" s="44" t="e">
        <f t="shared" si="3"/>
        <v>#REF!</v>
      </c>
      <c r="J26" s="74" t="e">
        <f t="shared" si="4"/>
        <v>#REF!</v>
      </c>
    </row>
    <row r="27" spans="1:10" x14ac:dyDescent="0.35">
      <c r="A27" s="2"/>
      <c r="B27" s="44" t="e">
        <f t="shared" si="3"/>
        <v>#REF!</v>
      </c>
      <c r="J27" s="74" t="e">
        <f t="shared" si="4"/>
        <v>#REF!</v>
      </c>
    </row>
    <row r="28" spans="1:10" x14ac:dyDescent="0.35">
      <c r="A28" s="2"/>
      <c r="B28" s="44" t="e">
        <f t="shared" si="3"/>
        <v>#REF!</v>
      </c>
      <c r="J28" s="74" t="e">
        <f t="shared" si="4"/>
        <v>#REF!</v>
      </c>
    </row>
    <row r="29" spans="1:10" x14ac:dyDescent="0.35">
      <c r="A29" s="2"/>
      <c r="B29" s="44" t="e">
        <f t="shared" si="3"/>
        <v>#REF!</v>
      </c>
      <c r="J29" s="74" t="e">
        <f t="shared" si="4"/>
        <v>#REF!</v>
      </c>
    </row>
    <row r="30" spans="1:10" x14ac:dyDescent="0.35">
      <c r="A30" s="2"/>
      <c r="B30" s="44" t="e">
        <f t="shared" si="3"/>
        <v>#REF!</v>
      </c>
      <c r="J30" s="74" t="e">
        <f t="shared" si="4"/>
        <v>#REF!</v>
      </c>
    </row>
    <row r="31" spans="1:10" ht="15" thickBot="1" x14ac:dyDescent="0.4">
      <c r="A31" s="2"/>
      <c r="J31" s="145" t="e">
        <f>SUM(J25:J30)</f>
        <v>#REF!</v>
      </c>
    </row>
    <row r="32" spans="1:10" ht="15" thickTop="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MD67"/>
  <sheetViews>
    <sheetView topLeftCell="A13" workbookViewId="0">
      <selection activeCell="J24" sqref="J24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149</v>
      </c>
      <c r="B1" s="1"/>
      <c r="C1" s="1"/>
      <c r="D1" s="1"/>
      <c r="E1" s="1"/>
      <c r="F1" s="1"/>
      <c r="G1" s="1"/>
      <c r="H1" s="1"/>
      <c r="I1" s="1"/>
      <c r="J1" s="160" t="s">
        <v>104</v>
      </c>
    </row>
    <row r="2" spans="1:10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1" t="s">
        <v>79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123</v>
      </c>
      <c r="C7" s="56"/>
      <c r="D7" s="56"/>
      <c r="H7" s="51"/>
      <c r="I7" s="51"/>
      <c r="J7" s="118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3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72</v>
      </c>
    </row>
    <row r="12" spans="1:10" x14ac:dyDescent="0.35">
      <c r="A12" s="57"/>
      <c r="B12" s="53" t="s">
        <v>71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73</v>
      </c>
      <c r="C16" s="53"/>
      <c r="D16" s="53"/>
      <c r="H16" s="17"/>
      <c r="I16" s="17"/>
      <c r="J16" s="134">
        <f>+TB!C14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3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105</v>
      </c>
      <c r="C19" s="58"/>
      <c r="D19" s="58"/>
      <c r="H19" s="38"/>
      <c r="I19" s="17"/>
      <c r="J19" s="59"/>
    </row>
    <row r="20" spans="1:10" x14ac:dyDescent="0.35">
      <c r="A20" s="3"/>
      <c r="B20" s="114" t="s">
        <v>160</v>
      </c>
      <c r="C20" s="58"/>
      <c r="D20" s="58"/>
      <c r="H20" s="38"/>
      <c r="I20" s="17"/>
      <c r="J20" s="135" t="e">
        <f>TB!#REF!</f>
        <v>#REF!</v>
      </c>
    </row>
    <row r="21" spans="1:10" x14ac:dyDescent="0.35">
      <c r="A21" s="3"/>
      <c r="B21" s="114" t="s">
        <v>161</v>
      </c>
      <c r="C21" s="58"/>
      <c r="D21" s="58"/>
      <c r="H21" s="38"/>
      <c r="I21" s="17"/>
      <c r="J21" s="135" t="e">
        <f>TB!#REF!</f>
        <v>#REF!</v>
      </c>
    </row>
    <row r="22" spans="1:10" x14ac:dyDescent="0.35">
      <c r="A22" s="3"/>
      <c r="B22" s="114" t="s">
        <v>139</v>
      </c>
      <c r="C22" s="58"/>
      <c r="D22" s="58"/>
      <c r="H22" s="38"/>
      <c r="I22" s="17"/>
      <c r="J22" s="135">
        <f>+TB!C11</f>
        <v>15000</v>
      </c>
    </row>
    <row r="23" spans="1:10" x14ac:dyDescent="0.35">
      <c r="A23" s="3"/>
      <c r="B23" s="114" t="s">
        <v>100</v>
      </c>
      <c r="C23" s="58"/>
      <c r="D23" s="58"/>
      <c r="H23" s="38"/>
      <c r="I23" s="17"/>
      <c r="J23" s="135">
        <f>+TB!C12</f>
        <v>25000</v>
      </c>
    </row>
    <row r="24" spans="1:10" ht="15" thickBot="1" x14ac:dyDescent="0.4">
      <c r="A24" s="57"/>
      <c r="H24" s="17"/>
      <c r="I24" s="17"/>
      <c r="J24" s="133" t="e">
        <f>SUM(J20:J23)</f>
        <v>#REF!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K54"/>
  <sheetViews>
    <sheetView topLeftCell="A13" zoomScaleNormal="100" zoomScaleSheetLayoutView="100" workbookViewId="0">
      <selection activeCell="A4" sqref="A4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149</v>
      </c>
      <c r="B1" s="30"/>
      <c r="F1" s="93"/>
      <c r="G1" s="94"/>
      <c r="H1" s="160" t="s">
        <v>81</v>
      </c>
    </row>
    <row r="2" spans="1:8" x14ac:dyDescent="0.35">
      <c r="A2" s="30" t="s">
        <v>82</v>
      </c>
      <c r="B2" s="30"/>
    </row>
    <row r="3" spans="1:8" x14ac:dyDescent="0.35">
      <c r="A3" s="30" t="s">
        <v>127</v>
      </c>
      <c r="B3" s="30"/>
    </row>
    <row r="4" spans="1:8" x14ac:dyDescent="0.35">
      <c r="A4" s="30" t="s">
        <v>150</v>
      </c>
    </row>
    <row r="5" spans="1:8" x14ac:dyDescent="0.35">
      <c r="A5" s="95"/>
      <c r="B5" s="95"/>
      <c r="D5" s="96"/>
      <c r="E5" s="96"/>
      <c r="H5" s="96" t="s">
        <v>11</v>
      </c>
    </row>
    <row r="6" spans="1:8" x14ac:dyDescent="0.35">
      <c r="A6" s="63" t="s">
        <v>83</v>
      </c>
      <c r="E6" s="21"/>
      <c r="H6" s="21" t="e">
        <f>+PL!D12</f>
        <v>#REF!</v>
      </c>
    </row>
    <row r="7" spans="1:8" x14ac:dyDescent="0.35">
      <c r="A7" s="97"/>
      <c r="E7" s="21"/>
      <c r="H7" s="21"/>
    </row>
    <row r="8" spans="1:8" x14ac:dyDescent="0.35">
      <c r="A8" s="64" t="s">
        <v>84</v>
      </c>
      <c r="E8" s="21"/>
      <c r="H8" s="98">
        <v>0</v>
      </c>
    </row>
    <row r="9" spans="1:8" x14ac:dyDescent="0.35">
      <c r="E9" s="21"/>
      <c r="H9" s="21" t="e">
        <f>SUM(H6:H8)</f>
        <v>#REF!</v>
      </c>
    </row>
    <row r="10" spans="1:8" x14ac:dyDescent="0.35">
      <c r="A10" s="30" t="s">
        <v>85</v>
      </c>
      <c r="B10" s="30"/>
      <c r="E10" s="21"/>
      <c r="H10" s="21"/>
    </row>
    <row r="11" spans="1:8" x14ac:dyDescent="0.35">
      <c r="A11" s="13" t="s">
        <v>129</v>
      </c>
      <c r="D11" s="99"/>
      <c r="F11" s="200" t="e">
        <f>'P10'!G22</f>
        <v>#REF!</v>
      </c>
      <c r="H11" s="214" t="e">
        <f>+F11</f>
        <v>#REF!</v>
      </c>
    </row>
    <row r="12" spans="1:8" x14ac:dyDescent="0.35">
      <c r="E12" s="21"/>
      <c r="H12" s="21" t="e">
        <f>SUM(H9:H11)</f>
        <v>#REF!</v>
      </c>
    </row>
    <row r="13" spans="1:8" x14ac:dyDescent="0.35">
      <c r="A13" s="30" t="s">
        <v>130</v>
      </c>
      <c r="B13" s="30"/>
      <c r="E13" s="21"/>
      <c r="H13" s="21"/>
    </row>
    <row r="14" spans="1:8" x14ac:dyDescent="0.35">
      <c r="A14" s="13" t="s">
        <v>86</v>
      </c>
      <c r="F14" s="65" t="s">
        <v>140</v>
      </c>
      <c r="H14" s="98" t="e">
        <f>-E42</f>
        <v>#REF!</v>
      </c>
    </row>
    <row r="15" spans="1:8" x14ac:dyDescent="0.35">
      <c r="A15" s="13" t="s">
        <v>87</v>
      </c>
      <c r="E15" s="21"/>
      <c r="H15" s="100" t="e">
        <f>SUM(H12:H14)</f>
        <v>#REF!</v>
      </c>
    </row>
    <row r="16" spans="1:8" x14ac:dyDescent="0.35">
      <c r="E16" s="101"/>
      <c r="H16" s="101"/>
    </row>
    <row r="17" spans="1:11" x14ac:dyDescent="0.35">
      <c r="A17" s="13" t="s">
        <v>88</v>
      </c>
      <c r="E17" s="101"/>
      <c r="H17" s="136" t="s">
        <v>173</v>
      </c>
    </row>
    <row r="18" spans="1:11" x14ac:dyDescent="0.35">
      <c r="E18" s="101"/>
      <c r="H18" s="101"/>
    </row>
    <row r="19" spans="1:11" hidden="1" x14ac:dyDescent="0.35">
      <c r="A19" s="102" t="s">
        <v>89</v>
      </c>
      <c r="E19" s="103" t="s">
        <v>90</v>
      </c>
      <c r="F19" s="32" t="str">
        <f>+H17</f>
        <v>Loss</v>
      </c>
      <c r="H19" s="101" t="e">
        <f>F19*0.3</f>
        <v>#VALUE!</v>
      </c>
    </row>
    <row r="20" spans="1:11" hidden="1" x14ac:dyDescent="0.35">
      <c r="E20" s="101"/>
      <c r="H20" s="101"/>
    </row>
    <row r="21" spans="1:11" hidden="1" x14ac:dyDescent="0.35">
      <c r="A21" s="104" t="s">
        <v>91</v>
      </c>
      <c r="E21" s="101"/>
      <c r="H21" s="101"/>
    </row>
    <row r="22" spans="1:11" hidden="1" x14ac:dyDescent="0.35">
      <c r="A22" s="13" t="s">
        <v>141</v>
      </c>
      <c r="E22" s="65">
        <v>24252</v>
      </c>
      <c r="F22" s="106">
        <v>0</v>
      </c>
      <c r="G22" s="105"/>
      <c r="H22" s="106">
        <f>-SUM(F22:F22)</f>
        <v>0</v>
      </c>
    </row>
    <row r="23" spans="1:11" ht="3.75" hidden="1" customHeight="1" x14ac:dyDescent="0.35">
      <c r="D23" s="65"/>
      <c r="E23" s="101"/>
      <c r="F23" s="101"/>
      <c r="G23" s="105"/>
      <c r="H23" s="101"/>
    </row>
    <row r="24" spans="1:11" ht="15" hidden="1" thickBot="1" x14ac:dyDescent="0.4">
      <c r="A24" s="30" t="s">
        <v>92</v>
      </c>
      <c r="E24" s="101"/>
      <c r="H24" s="107" t="e">
        <f>SUM(H19:H22)</f>
        <v>#VALUE!</v>
      </c>
      <c r="K24" s="29"/>
    </row>
    <row r="25" spans="1:11" ht="15" hidden="1" thickTop="1" x14ac:dyDescent="0.35">
      <c r="E25" s="101"/>
      <c r="H25" s="101"/>
    </row>
    <row r="26" spans="1:11" hidden="1" x14ac:dyDescent="0.35">
      <c r="E26" s="101"/>
      <c r="H26" s="101"/>
    </row>
    <row r="27" spans="1:11" x14ac:dyDescent="0.35">
      <c r="A27" s="63" t="s">
        <v>93</v>
      </c>
      <c r="B27" s="18"/>
      <c r="C27" s="18"/>
      <c r="D27" s="18"/>
      <c r="E27" s="101"/>
      <c r="F27" s="18"/>
      <c r="G27" s="18"/>
      <c r="H27" s="18"/>
    </row>
    <row r="28" spans="1:11" ht="7.2" customHeight="1" x14ac:dyDescent="0.35">
      <c r="E28" s="101"/>
      <c r="H28" s="101"/>
    </row>
    <row r="29" spans="1:11" x14ac:dyDescent="0.35">
      <c r="A29" s="87" t="s">
        <v>94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08" t="s">
        <v>95</v>
      </c>
      <c r="B31" s="109" t="s">
        <v>26</v>
      </c>
      <c r="C31" s="96" t="s">
        <v>96</v>
      </c>
      <c r="D31" s="110" t="s">
        <v>131</v>
      </c>
      <c r="E31" s="90" t="s">
        <v>97</v>
      </c>
      <c r="F31" s="90" t="s">
        <v>132</v>
      </c>
      <c r="G31" s="90"/>
      <c r="H31" s="96" t="s">
        <v>98</v>
      </c>
    </row>
    <row r="32" spans="1:11" ht="4.8" customHeight="1" x14ac:dyDescent="0.35">
      <c r="A32" s="108"/>
      <c r="B32" s="109"/>
      <c r="C32" s="65"/>
      <c r="D32" s="111"/>
      <c r="E32" s="111"/>
      <c r="F32" s="111"/>
      <c r="G32" s="111"/>
      <c r="H32" s="65"/>
    </row>
    <row r="33" spans="1:8" x14ac:dyDescent="0.35">
      <c r="A33" s="108" t="s">
        <v>133</v>
      </c>
      <c r="B33" s="109"/>
      <c r="C33" s="65"/>
      <c r="D33" s="111"/>
      <c r="E33" s="111"/>
      <c r="F33" s="111"/>
      <c r="G33" s="111"/>
      <c r="H33" s="65"/>
    </row>
    <row r="34" spans="1:8" ht="5.4" customHeight="1" x14ac:dyDescent="0.35">
      <c r="A34" s="108"/>
      <c r="B34" s="109"/>
      <c r="C34" s="65"/>
      <c r="D34" s="111"/>
      <c r="E34" s="111"/>
      <c r="F34" s="111"/>
      <c r="G34" s="111"/>
      <c r="H34" s="65"/>
    </row>
    <row r="35" spans="1:8" x14ac:dyDescent="0.35">
      <c r="A35" s="108" t="str">
        <f>+'P10'!B6</f>
        <v>Furniture &amp; Fittings</v>
      </c>
      <c r="B35" s="176">
        <f>+'P10'!G6</f>
        <v>153700</v>
      </c>
      <c r="C35" s="65">
        <v>5</v>
      </c>
      <c r="D35" s="147">
        <v>0</v>
      </c>
      <c r="E35" s="146">
        <f>B35/C35</f>
        <v>30740</v>
      </c>
      <c r="F35" s="146">
        <f>D35+E35</f>
        <v>30740</v>
      </c>
      <c r="G35" s="111"/>
      <c r="H35" s="149">
        <f>B35-F35</f>
        <v>122960</v>
      </c>
    </row>
    <row r="36" spans="1:8" x14ac:dyDescent="0.35">
      <c r="A36" s="201" t="e">
        <f>+'P10'!B7</f>
        <v>#REF!</v>
      </c>
      <c r="B36" s="176" t="e">
        <f>+'P10'!G7</f>
        <v>#REF!</v>
      </c>
      <c r="C36" s="65">
        <v>5</v>
      </c>
      <c r="D36" s="210">
        <v>0</v>
      </c>
      <c r="E36" s="208" t="e">
        <f t="shared" ref="E36:E40" si="0">B36/C36</f>
        <v>#REF!</v>
      </c>
      <c r="F36" s="208" t="e">
        <f t="shared" ref="F36:F40" si="1">D36+E36</f>
        <v>#REF!</v>
      </c>
      <c r="G36" s="111"/>
      <c r="H36" s="212" t="e">
        <f t="shared" ref="H36:H40" si="2">B36-F36</f>
        <v>#REF!</v>
      </c>
    </row>
    <row r="37" spans="1:8" x14ac:dyDescent="0.35">
      <c r="A37" s="201" t="e">
        <f>+'P10'!B8</f>
        <v>#REF!</v>
      </c>
      <c r="B37" s="176" t="e">
        <f>+'P10'!G8</f>
        <v>#REF!</v>
      </c>
      <c r="C37" s="65">
        <v>5</v>
      </c>
      <c r="D37" s="210">
        <v>0</v>
      </c>
      <c r="E37" s="208" t="e">
        <f t="shared" si="0"/>
        <v>#REF!</v>
      </c>
      <c r="F37" s="208" t="e">
        <f t="shared" si="1"/>
        <v>#REF!</v>
      </c>
      <c r="G37" s="111"/>
      <c r="H37" s="212" t="e">
        <f t="shared" si="2"/>
        <v>#REF!</v>
      </c>
    </row>
    <row r="38" spans="1:8" s="191" customFormat="1" x14ac:dyDescent="0.35">
      <c r="A38" s="201" t="e">
        <f>+'P10'!B9</f>
        <v>#REF!</v>
      </c>
      <c r="B38" s="176" t="e">
        <f>+'P10'!G9</f>
        <v>#REF!</v>
      </c>
      <c r="C38" s="197">
        <v>5</v>
      </c>
      <c r="D38" s="210">
        <v>0</v>
      </c>
      <c r="E38" s="208" t="e">
        <f t="shared" si="0"/>
        <v>#REF!</v>
      </c>
      <c r="F38" s="208" t="e">
        <f t="shared" si="1"/>
        <v>#REF!</v>
      </c>
      <c r="G38" s="202"/>
      <c r="H38" s="212" t="e">
        <f t="shared" si="2"/>
        <v>#REF!</v>
      </c>
    </row>
    <row r="39" spans="1:8" s="191" customFormat="1" x14ac:dyDescent="0.35">
      <c r="A39" s="201" t="e">
        <f>+'P10'!B10</f>
        <v>#REF!</v>
      </c>
      <c r="B39" s="176" t="e">
        <f>+'P10'!G10</f>
        <v>#REF!</v>
      </c>
      <c r="C39" s="197">
        <v>5</v>
      </c>
      <c r="D39" s="210">
        <v>0</v>
      </c>
      <c r="E39" s="208" t="e">
        <f t="shared" si="0"/>
        <v>#REF!</v>
      </c>
      <c r="F39" s="208" t="e">
        <f t="shared" si="1"/>
        <v>#REF!</v>
      </c>
      <c r="G39" s="202"/>
      <c r="H39" s="212" t="e">
        <f t="shared" si="2"/>
        <v>#REF!</v>
      </c>
    </row>
    <row r="40" spans="1:8" s="191" customFormat="1" x14ac:dyDescent="0.35">
      <c r="A40" s="201" t="e">
        <f>+'P10'!B11</f>
        <v>#REF!</v>
      </c>
      <c r="B40" s="176" t="e">
        <f>+'P10'!G11</f>
        <v>#REF!</v>
      </c>
      <c r="C40" s="197">
        <v>5</v>
      </c>
      <c r="D40" s="210">
        <v>0</v>
      </c>
      <c r="E40" s="208" t="e">
        <f t="shared" si="0"/>
        <v>#REF!</v>
      </c>
      <c r="F40" s="208" t="e">
        <f t="shared" si="1"/>
        <v>#REF!</v>
      </c>
      <c r="G40" s="202"/>
      <c r="H40" s="212" t="e">
        <f t="shared" si="2"/>
        <v>#REF!</v>
      </c>
    </row>
    <row r="41" spans="1:8" s="191" customFormat="1" ht="4.8" customHeight="1" x14ac:dyDescent="0.35">
      <c r="A41" s="201"/>
      <c r="B41" s="209"/>
      <c r="C41" s="197"/>
      <c r="D41" s="210"/>
      <c r="E41" s="208"/>
      <c r="F41" s="208"/>
      <c r="G41" s="202"/>
      <c r="H41" s="212"/>
    </row>
    <row r="42" spans="1:8" ht="15" thickBot="1" x14ac:dyDescent="0.4">
      <c r="A42" s="63" t="s">
        <v>27</v>
      </c>
      <c r="B42" s="148" t="e">
        <f>SUM(B35:B40)</f>
        <v>#REF!</v>
      </c>
      <c r="C42" s="113"/>
      <c r="D42" s="211">
        <f>SUM(D35:D40)</f>
        <v>0</v>
      </c>
      <c r="E42" s="211" t="e">
        <f t="shared" ref="E42:H42" si="3">SUM(E35:E40)</f>
        <v>#REF!</v>
      </c>
      <c r="F42" s="211" t="e">
        <f t="shared" si="3"/>
        <v>#REF!</v>
      </c>
      <c r="G42" s="113"/>
      <c r="H42" s="211" t="e">
        <f t="shared" si="3"/>
        <v>#REF!</v>
      </c>
    </row>
    <row r="43" spans="1:8" ht="15" thickTop="1" x14ac:dyDescent="0.35">
      <c r="A43" s="18"/>
      <c r="B43" s="112"/>
      <c r="C43" s="112"/>
      <c r="D43" s="112"/>
      <c r="E43" s="112"/>
      <c r="F43" s="112"/>
      <c r="G43" s="112"/>
      <c r="H43" s="112"/>
    </row>
    <row r="45" spans="1:8" x14ac:dyDescent="0.35">
      <c r="A45" s="198" t="s">
        <v>174</v>
      </c>
    </row>
    <row r="46" spans="1:8" x14ac:dyDescent="0.35">
      <c r="A46" s="193" t="s">
        <v>175</v>
      </c>
      <c r="H46" s="173">
        <v>0</v>
      </c>
    </row>
    <row r="47" spans="1:8" x14ac:dyDescent="0.35">
      <c r="A47" s="193" t="s">
        <v>176</v>
      </c>
      <c r="H47" s="217" t="e">
        <f>-H15</f>
        <v>#REF!</v>
      </c>
    </row>
    <row r="48" spans="1:8" x14ac:dyDescent="0.35">
      <c r="A48" s="193"/>
      <c r="H48" s="173" t="e">
        <f>SUM(H46:H47)</f>
        <v>#REF!</v>
      </c>
    </row>
    <row r="49" spans="1:8" x14ac:dyDescent="0.35">
      <c r="A49" s="193"/>
    </row>
    <row r="50" spans="1:8" x14ac:dyDescent="0.35">
      <c r="A50" s="193" t="s">
        <v>177</v>
      </c>
    </row>
    <row r="51" spans="1:8" x14ac:dyDescent="0.35">
      <c r="A51" s="193" t="s">
        <v>178</v>
      </c>
      <c r="H51" s="173">
        <v>0</v>
      </c>
    </row>
    <row r="52" spans="1:8" x14ac:dyDescent="0.35">
      <c r="A52" s="193" t="s">
        <v>179</v>
      </c>
      <c r="H52" s="173">
        <v>0</v>
      </c>
    </row>
    <row r="53" spans="1:8" ht="15" thickBot="1" x14ac:dyDescent="0.4">
      <c r="A53" s="193" t="s">
        <v>180</v>
      </c>
      <c r="H53" s="218" t="e">
        <f>SUM(H48:H52)</f>
        <v>#REF!</v>
      </c>
    </row>
    <row r="54" spans="1:8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PL</vt:lpstr>
      <vt:lpstr>BS</vt:lpstr>
      <vt:lpstr>CE</vt:lpstr>
      <vt:lpstr>CF</vt:lpstr>
      <vt:lpstr>P09</vt:lpstr>
      <vt:lpstr>P10</vt:lpstr>
      <vt:lpstr>P11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2026-09-12T06:20:35Z</dcterms:modified>
</cp:coreProperties>
</file>