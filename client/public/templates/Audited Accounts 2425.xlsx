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codeName="ThisWorkbook"/>
  <mc:AlternateContent xmlns:mc="http://schemas.openxmlformats.org/markup-compatibility/2006">
    <mc:Choice Requires="x15">
      <x15ac:absPath xmlns:x15ac="http://schemas.microsoft.com/office/spreadsheetml/2010/11/ac" url="E:\E Drive\University Project\L3S1\LankaCapital_ERP_Web\client\public\templates\"/>
    </mc:Choice>
  </mc:AlternateContent>
  <xr:revisionPtr revIDLastSave="0" documentId="13_ncr:1_{B722E2E5-E1CB-4466-8B59-8EE3BCA66BDE}" xr6:coauthVersionLast="36" xr6:coauthVersionMax="47" xr10:uidLastSave="{00000000-0000-0000-0000-000000000000}"/>
  <bookViews>
    <workbookView xWindow="0" yWindow="0" windowWidth="12072" windowHeight="4512" tabRatio="705" activeTab="4" xr2:uid="{00000000-000D-0000-FFFF-FFFF00000000}"/>
  </bookViews>
  <sheets>
    <sheet name="PPE" sheetId="24" r:id="rId1"/>
    <sheet name="Working" sheetId="25" r:id="rId2"/>
    <sheet name="TB" sheetId="7" r:id="rId3"/>
    <sheet name="CE" sheetId="8" r:id="rId4"/>
    <sheet name="CF" sheetId="15" r:id="rId5"/>
    <sheet name="PL" sheetId="2" r:id="rId6"/>
    <sheet name="BS" sheetId="1" r:id="rId7"/>
    <sheet name="P09" sheetId="6" r:id="rId8"/>
    <sheet name="P10" sheetId="5" r:id="rId9"/>
    <sheet name="P11" sheetId="19" r:id="rId10"/>
    <sheet name="Income Tax" sheetId="20" r:id="rId11"/>
  </sheets>
  <externalReferences>
    <externalReference r:id="rId12"/>
    <externalReference r:id="rId13"/>
  </externalReferences>
  <definedNames>
    <definedName name="Beg_Bal">#REF!</definedName>
    <definedName name="Chinthi">'[1]P&amp;L'!#REF!</definedName>
    <definedName name="Cum_Int">#REF!</definedName>
    <definedName name="Data">#REF!</definedName>
    <definedName name="End_Bal">#REF!</definedName>
    <definedName name="Extra_Pay">#REF!</definedName>
    <definedName name="Full_Print">#REF!</definedName>
    <definedName name="Header_Row">ROW(#REF!)</definedName>
    <definedName name="Int">#REF!</definedName>
    <definedName name="Interest_Rate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Num_Pmt_Per_Year">#REF!</definedName>
    <definedName name="Number_of_Payments">MATCH(0.01,End_Bal,-1)+1</definedName>
    <definedName name="Pay_Date">#REF!</definedName>
    <definedName name="Pay_Num">#REF!</definedName>
    <definedName name="Payment_Date">DATE(YEAR(Loan_Start),MONTH(Loan_Start)+Payment_Number,DAY(Loan_Start))</definedName>
    <definedName name="Princ">#REF!</definedName>
    <definedName name="Print_Area_Reset">OFFSET(Full_Print,0,0,Last_Row)</definedName>
    <definedName name="ranji">'[1]P&amp;L'!#REF!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Total_Interest">#REF!</definedName>
    <definedName name="Total_Pay">#REF!</definedName>
    <definedName name="Values_Entered">IF(Loan_Amount*Interest_Rate*Loan_Years*Loan_Start&gt;0,1,0)</definedName>
    <definedName name="vDateTime">#REF!</definedName>
    <definedName name="vDiastolic">#REF!</definedName>
    <definedName name="vHeartRate">#REF!</definedName>
    <definedName name="vSystolic">#REF!</definedName>
  </definedNames>
  <calcPr calcId="191029"/>
</workbook>
</file>

<file path=xl/calcChain.xml><?xml version="1.0" encoding="utf-8"?>
<calcChain xmlns="http://schemas.openxmlformats.org/spreadsheetml/2006/main">
  <c r="G17" i="15" l="1"/>
  <c r="D42" i="20" l="1"/>
  <c r="E27" i="1"/>
  <c r="E12" i="1"/>
  <c r="D29" i="6"/>
  <c r="D30" i="6" s="1"/>
  <c r="D11" i="6"/>
  <c r="C14" i="7"/>
  <c r="C12" i="7"/>
  <c r="C11" i="7"/>
  <c r="D17" i="6"/>
  <c r="D18" i="6" l="1"/>
  <c r="D12" i="6"/>
  <c r="D16" i="6"/>
  <c r="G21" i="5"/>
  <c r="J21" i="5" s="1"/>
  <c r="G20" i="5"/>
  <c r="J20" i="5" s="1"/>
  <c r="G19" i="5"/>
  <c r="J19" i="5" s="1"/>
  <c r="G18" i="5"/>
  <c r="J18" i="5" s="1"/>
  <c r="B11" i="5"/>
  <c r="B10" i="5"/>
  <c r="B9" i="5"/>
  <c r="B8" i="5"/>
  <c r="B7" i="5"/>
  <c r="B6" i="5"/>
  <c r="G11" i="5"/>
  <c r="G10" i="5"/>
  <c r="G9" i="5"/>
  <c r="G8" i="5"/>
  <c r="G7" i="5"/>
  <c r="F4" i="24"/>
  <c r="G4" i="24" s="1"/>
  <c r="B8" i="7"/>
  <c r="G6" i="5" s="1"/>
  <c r="J20" i="19"/>
  <c r="B14" i="25"/>
  <c r="C13" i="25"/>
  <c r="C14" i="25" s="1"/>
  <c r="D13" i="6" s="1"/>
  <c r="C18" i="7"/>
  <c r="G34" i="15"/>
  <c r="G14" i="15"/>
  <c r="D13" i="25" l="1"/>
  <c r="D14" i="25" s="1"/>
  <c r="D14" i="6" s="1"/>
  <c r="B16" i="5"/>
  <c r="B25" i="5" s="1"/>
  <c r="A35" i="20"/>
  <c r="B17" i="5"/>
  <c r="B26" i="5" s="1"/>
  <c r="A36" i="20"/>
  <c r="B18" i="5"/>
  <c r="B27" i="5" s="1"/>
  <c r="A37" i="20"/>
  <c r="B19" i="5"/>
  <c r="B28" i="5" s="1"/>
  <c r="A38" i="20"/>
  <c r="B20" i="5"/>
  <c r="B29" i="5" s="1"/>
  <c r="A39" i="20"/>
  <c r="B21" i="5"/>
  <c r="B30" i="5" s="1"/>
  <c r="A40" i="20"/>
  <c r="J6" i="5"/>
  <c r="B35" i="20"/>
  <c r="E35" i="20" s="1"/>
  <c r="J10" i="5"/>
  <c r="J29" i="5" s="1"/>
  <c r="B39" i="20"/>
  <c r="J7" i="5"/>
  <c r="B36" i="20"/>
  <c r="J9" i="5"/>
  <c r="J28" i="5" s="1"/>
  <c r="B38" i="20"/>
  <c r="J8" i="5"/>
  <c r="J27" i="5" s="1"/>
  <c r="B37" i="20"/>
  <c r="G16" i="5"/>
  <c r="J16" i="5" s="1"/>
  <c r="J11" i="5"/>
  <c r="J30" i="5" s="1"/>
  <c r="B40" i="20"/>
  <c r="D5" i="24"/>
  <c r="G17" i="5"/>
  <c r="J17" i="5" s="1"/>
  <c r="J21" i="19"/>
  <c r="D25" i="6"/>
  <c r="D24" i="6"/>
  <c r="D10" i="2"/>
  <c r="J23" i="19"/>
  <c r="J22" i="19"/>
  <c r="D15" i="6"/>
  <c r="E38" i="20" l="1"/>
  <c r="F38" i="20" s="1"/>
  <c r="H38" i="20" s="1"/>
  <c r="E39" i="20"/>
  <c r="F39" i="20" s="1"/>
  <c r="H39" i="20" s="1"/>
  <c r="E36" i="20"/>
  <c r="E40" i="20"/>
  <c r="F40" i="20" s="1"/>
  <c r="H40" i="20" s="1"/>
  <c r="J26" i="5"/>
  <c r="E37" i="20"/>
  <c r="F37" i="20" s="1"/>
  <c r="H37" i="20" s="1"/>
  <c r="B42" i="20"/>
  <c r="F35" i="20"/>
  <c r="E42" i="20" l="1"/>
  <c r="F36" i="20"/>
  <c r="H36" i="20" s="1"/>
  <c r="H35" i="20"/>
  <c r="E12" i="5"/>
  <c r="E22" i="5"/>
  <c r="D20" i="6"/>
  <c r="D21" i="6"/>
  <c r="D23" i="6"/>
  <c r="H42" i="20" l="1"/>
  <c r="F42" i="20"/>
  <c r="G5" i="24"/>
  <c r="C9" i="7" s="1"/>
  <c r="D19" i="6"/>
  <c r="J24" i="19"/>
  <c r="J25" i="5"/>
  <c r="G22" i="5"/>
  <c r="F11" i="20" l="1"/>
  <c r="H11" i="20" s="1"/>
  <c r="D22" i="6"/>
  <c r="G9" i="15" s="1"/>
  <c r="D26" i="6"/>
  <c r="J12" i="5"/>
  <c r="J22" i="5"/>
  <c r="J31" i="5" l="1"/>
  <c r="D8" i="2"/>
  <c r="H22" i="20"/>
  <c r="J4" i="19"/>
  <c r="J13" i="19"/>
  <c r="J7" i="19"/>
  <c r="G37" i="15" s="1"/>
  <c r="G38" i="15" s="1"/>
  <c r="J8" i="19" l="1"/>
  <c r="E26" i="1"/>
  <c r="G13" i="15" s="1"/>
  <c r="E13" i="1" l="1"/>
  <c r="E14" i="1" s="1"/>
  <c r="H14" i="20"/>
  <c r="D7" i="6" l="1"/>
  <c r="E9" i="8" l="1"/>
  <c r="E13" i="8" s="1"/>
  <c r="J16" i="19"/>
  <c r="J17" i="19" s="1"/>
  <c r="E19" i="1" s="1"/>
  <c r="G26" i="15" s="1"/>
  <c r="A3" i="15" l="1"/>
  <c r="A34" i="1" l="1"/>
  <c r="A32" i="1"/>
  <c r="G27" i="15" l="1"/>
  <c r="I9" i="8"/>
  <c r="D8" i="6" l="1"/>
  <c r="D6" i="2" s="1"/>
  <c r="G12" i="15" l="1"/>
  <c r="D12" i="2" l="1"/>
  <c r="G18" i="15"/>
  <c r="G7" i="15" l="1"/>
  <c r="H6" i="20"/>
  <c r="H9" i="20" s="1"/>
  <c r="H12" i="20" l="1"/>
  <c r="H15" i="20" s="1"/>
  <c r="G10" i="15"/>
  <c r="G15" i="15" s="1"/>
  <c r="F19" i="20" l="1"/>
  <c r="H19" i="20" s="1"/>
  <c r="H24" i="20" s="1"/>
  <c r="H47" i="20"/>
  <c r="H48" i="20" s="1"/>
  <c r="H53" i="20" s="1"/>
  <c r="G19" i="15"/>
  <c r="C24" i="7" l="1"/>
  <c r="E28" i="1"/>
  <c r="E29" i="1" s="1"/>
  <c r="B24" i="7"/>
  <c r="D33" i="6"/>
  <c r="D34" i="6" s="1"/>
  <c r="D14" i="2" s="1"/>
  <c r="D16" i="2" s="1"/>
  <c r="G11" i="8" s="1"/>
  <c r="G12" i="5"/>
  <c r="G22" i="15" s="1"/>
  <c r="G23" i="15" s="1"/>
  <c r="G28" i="15" s="1"/>
  <c r="G30" i="15" s="1"/>
  <c r="H38" i="15" s="1"/>
  <c r="B25" i="7" l="1"/>
  <c r="I11" i="8"/>
  <c r="I13" i="8" s="1"/>
  <c r="G13" i="8"/>
  <c r="E20" i="1" s="1"/>
  <c r="E21" i="1" s="1"/>
  <c r="E30" i="1" s="1"/>
  <c r="E8" i="1"/>
  <c r="E9" i="1" l="1"/>
  <c r="E15" i="1" s="1"/>
  <c r="G30" i="1" s="1"/>
  <c r="G32" i="1" s="1"/>
</calcChain>
</file>

<file path=xl/sharedStrings.xml><?xml version="1.0" encoding="utf-8"?>
<sst xmlns="http://schemas.openxmlformats.org/spreadsheetml/2006/main" count="334" uniqueCount="192">
  <si>
    <t>STATEMENT OF FINANCIAL POSITION</t>
  </si>
  <si>
    <t>ASSETS</t>
  </si>
  <si>
    <t>Current Assets</t>
  </si>
  <si>
    <t>Cash &amp; Cash Equivalent</t>
  </si>
  <si>
    <t>Total Assets</t>
  </si>
  <si>
    <t>EQUITY &amp; LIABILITIES</t>
  </si>
  <si>
    <t>Stated Capital</t>
  </si>
  <si>
    <t>Retained Earnings</t>
  </si>
  <si>
    <t>Current Liabilities</t>
  </si>
  <si>
    <t>Total Equity and Liabilities</t>
  </si>
  <si>
    <t>31/03/2023</t>
  </si>
  <si>
    <t>Rs.</t>
  </si>
  <si>
    <t>Administration Expenses</t>
  </si>
  <si>
    <t>Additions</t>
  </si>
  <si>
    <t>Disposal</t>
  </si>
  <si>
    <t>Charge for the year</t>
  </si>
  <si>
    <t>Trial Balance</t>
  </si>
  <si>
    <t>Dr</t>
  </si>
  <si>
    <t>Cr</t>
  </si>
  <si>
    <t>Assets</t>
  </si>
  <si>
    <t>Bank accounts</t>
  </si>
  <si>
    <t>Share capital</t>
  </si>
  <si>
    <t>Rs</t>
  </si>
  <si>
    <t>Non Current Assets</t>
  </si>
  <si>
    <t>Income Tax Paid</t>
  </si>
  <si>
    <t>Adjustments For:</t>
  </si>
  <si>
    <t>Cost</t>
  </si>
  <si>
    <t>Total</t>
  </si>
  <si>
    <t>Page 2</t>
  </si>
  <si>
    <t>Note</t>
  </si>
  <si>
    <t>STATEMENT OF COMPREHENSIVE INCOME</t>
  </si>
  <si>
    <t>Profit/ (Loss) Before Taxation</t>
  </si>
  <si>
    <t>Figures in brackets indicate deductions.</t>
  </si>
  <si>
    <t>The Notes on pages 06 to 11 form an integral part of these Financial Statements.</t>
  </si>
  <si>
    <t>Finance Cost</t>
  </si>
  <si>
    <t>Income Tax Expense</t>
  </si>
  <si>
    <t>Page 3</t>
  </si>
  <si>
    <t>Capital and Reserve</t>
  </si>
  <si>
    <t>Director's Current Account</t>
  </si>
  <si>
    <t>Total Current Assets</t>
  </si>
  <si>
    <t>Non Current Liabilities</t>
  </si>
  <si>
    <t>Total Current Liabilities</t>
  </si>
  <si>
    <t>Total Liabilities</t>
  </si>
  <si>
    <t>These financial statements are in compliance with the requirements of Companies Act No. 07 of 2007.</t>
  </si>
  <si>
    <t>……………………</t>
  </si>
  <si>
    <t>Accountant</t>
  </si>
  <si>
    <t>The  Board of Directors is responsible for the preparation and presentation of these Financial Statements.</t>
  </si>
  <si>
    <t>Approved and Signed for and on behalf of the Board.</t>
  </si>
  <si>
    <t>……………………………</t>
  </si>
  <si>
    <t>(Director)</t>
  </si>
  <si>
    <t>Page 4</t>
  </si>
  <si>
    <t xml:space="preserve">STATEMENT OF CHANGES IN EQUITY </t>
  </si>
  <si>
    <t>STATEMENT OF CASH FLOWS</t>
  </si>
  <si>
    <t>Cash flow from Operating Activities</t>
  </si>
  <si>
    <t>Net Profit before Taxation</t>
  </si>
  <si>
    <t xml:space="preserve">Operating Profit Before Working Capital Changes </t>
  </si>
  <si>
    <t>Cash Generated from Operations</t>
  </si>
  <si>
    <t>Net Cash Flows from Operating Activities</t>
  </si>
  <si>
    <t>Cash Flow from Investing Activities</t>
  </si>
  <si>
    <t>Net Cash Flow from/(Used in) Investing Activities</t>
  </si>
  <si>
    <t>Cash flow from Financing Activities</t>
  </si>
  <si>
    <t>Net Cash Used in Financing Activities</t>
  </si>
  <si>
    <t>Cash &amp; Cash Equivalents at the Beginning of the Period</t>
  </si>
  <si>
    <t>Cash &amp; Cash Equivalents at the End of the Period</t>
  </si>
  <si>
    <t>Page 5</t>
  </si>
  <si>
    <t>Net increase/ (Decrease) in Cash &amp; Cash Equivalents</t>
  </si>
  <si>
    <t>Page 9</t>
  </si>
  <si>
    <t>Page 10</t>
  </si>
  <si>
    <t>Revenue</t>
  </si>
  <si>
    <t>NOTES TO THE FINANCIAL STATEMENTS</t>
  </si>
  <si>
    <t>Shares Issued</t>
  </si>
  <si>
    <t>Number of Shares - Ordinary Shares</t>
  </si>
  <si>
    <t>Nos.</t>
  </si>
  <si>
    <t>Value - Ordinary Shares</t>
  </si>
  <si>
    <t xml:space="preserve">Rs. </t>
  </si>
  <si>
    <t>Stated 
Capital</t>
  </si>
  <si>
    <t>Retained  Earnings</t>
  </si>
  <si>
    <t xml:space="preserve">Total 
</t>
  </si>
  <si>
    <t xml:space="preserve">NOTES TO THE FINANCIAL STATEMENTS </t>
  </si>
  <si>
    <t>AS AT 31ST MARCH</t>
  </si>
  <si>
    <t>Written Down Value</t>
  </si>
  <si>
    <t>Page 12</t>
  </si>
  <si>
    <t xml:space="preserve">COMPUTATION OF INCOME TAX </t>
  </si>
  <si>
    <t>Profit/(Loss) Before Tax as per Financial Statements</t>
  </si>
  <si>
    <t>Less: Exempt Amounts,Final Withholding Payments &amp; Other Sources</t>
  </si>
  <si>
    <t>Add: Deduction not Allowed</t>
  </si>
  <si>
    <t>Capital Allowances</t>
  </si>
  <si>
    <t>Assessable Income From Business/(Business Loss)</t>
  </si>
  <si>
    <t>Taxable Income</t>
  </si>
  <si>
    <t>Income Tax on Taxable Income</t>
  </si>
  <si>
    <t>@ 30% on</t>
  </si>
  <si>
    <t>Less : Tax Credits</t>
  </si>
  <si>
    <t>Balance Tax Payable</t>
  </si>
  <si>
    <t>Annexure to the Income Tax Computation</t>
  </si>
  <si>
    <t>Annexure 1 - Capital Allowances On Depreciable Assets</t>
  </si>
  <si>
    <t>Asset Description</t>
  </si>
  <si>
    <t>Years</t>
  </si>
  <si>
    <t>During the
 year Claim</t>
  </si>
  <si>
    <t>WDV</t>
  </si>
  <si>
    <t>Printing &amp; Stationery</t>
  </si>
  <si>
    <t>Audit Fee</t>
  </si>
  <si>
    <t>FOR THE YEAR PERIOD 31ST MARCH</t>
  </si>
  <si>
    <t>Increase/(Decrease) in Director's Current Account</t>
  </si>
  <si>
    <t>Current Tax Expense</t>
  </si>
  <si>
    <t>Page 11</t>
  </si>
  <si>
    <t>Trade Creditors &amp; Other Payable</t>
  </si>
  <si>
    <t>Telephone &amp; Internet</t>
  </si>
  <si>
    <t>Interest Income</t>
  </si>
  <si>
    <t>As at 31st March 2025</t>
  </si>
  <si>
    <t>Amount</t>
  </si>
  <si>
    <t>Furniture &amp; Fittings</t>
  </si>
  <si>
    <t>Balance at 01.04.2024</t>
  </si>
  <si>
    <t>Balance at 31.03.2025</t>
  </si>
  <si>
    <t>Accumulated Depreciation</t>
  </si>
  <si>
    <t>Fixed Asset Register</t>
  </si>
  <si>
    <t>Asset</t>
  </si>
  <si>
    <t>Month of purchased</t>
  </si>
  <si>
    <t>Month starting Depreciation</t>
  </si>
  <si>
    <t xml:space="preserve">Depreciation Amount </t>
  </si>
  <si>
    <t>Rate</t>
  </si>
  <si>
    <t>Cash</t>
  </si>
  <si>
    <t>Accountany Fee</t>
  </si>
  <si>
    <t>Accumalated Deprecion</t>
  </si>
  <si>
    <t>Cash In Hand</t>
  </si>
  <si>
    <t>FOR THE PERIOD ENDED 31ST MARCH 2025</t>
  </si>
  <si>
    <t>Balance as at 01st April 2024</t>
  </si>
  <si>
    <t>Balance as at 31st March 2025</t>
  </si>
  <si>
    <t>YEAR OF ASSESSMENT 2024/2025</t>
  </si>
  <si>
    <t>AS AT 31ST MARCH 2025</t>
  </si>
  <si>
    <t>Depreciation</t>
  </si>
  <si>
    <t>Less: Deduction Allowed</t>
  </si>
  <si>
    <t>Balance as at 01/04/2024</t>
  </si>
  <si>
    <t>Balance as at 31/03/2025</t>
  </si>
  <si>
    <t>2024/2025</t>
  </si>
  <si>
    <t>Balance as at
 31.03.2025</t>
  </si>
  <si>
    <t>Salaries &amp; Wages</t>
  </si>
  <si>
    <t xml:space="preserve">Electricity </t>
  </si>
  <si>
    <t xml:space="preserve">Office Rent </t>
  </si>
  <si>
    <t xml:space="preserve">Depreciation </t>
  </si>
  <si>
    <t>Accountancy Fee</t>
  </si>
  <si>
    <t>Annexure 1</t>
  </si>
  <si>
    <t>Self Assessment Income Tax Payments</t>
  </si>
  <si>
    <t>Income Tax</t>
  </si>
  <si>
    <t>Property, Plant and Equipment</t>
  </si>
  <si>
    <t>Cash in Hand</t>
  </si>
  <si>
    <t>At the Beginning</t>
  </si>
  <si>
    <t>At the End</t>
  </si>
  <si>
    <t>Incorporation Fee</t>
  </si>
  <si>
    <t>Commission Income</t>
  </si>
  <si>
    <t>N K R S LANKA CAPITAL (PRIVATE) LIMITED</t>
  </si>
  <si>
    <t>TIN NO. 111350027</t>
  </si>
  <si>
    <t>Advertisment &amp; Sales Promotion</t>
  </si>
  <si>
    <t>Bad Debts</t>
  </si>
  <si>
    <t>Insurance</t>
  </si>
  <si>
    <t>Income</t>
  </si>
  <si>
    <t>Bill Nu.</t>
  </si>
  <si>
    <t>EPF &amp; ETF</t>
  </si>
  <si>
    <t>EPF20%</t>
  </si>
  <si>
    <t>EPF12%</t>
  </si>
  <si>
    <t>ETF3%</t>
  </si>
  <si>
    <t>EPF</t>
  </si>
  <si>
    <t>ETF</t>
  </si>
  <si>
    <t>Date</t>
  </si>
  <si>
    <t xml:space="preserve">Business Promotion &amp; Marketing Expneses </t>
  </si>
  <si>
    <t xml:space="preserve">EPF </t>
  </si>
  <si>
    <t>Dirtectors remuniration</t>
  </si>
  <si>
    <t>FOR THE PERIOD ENDED 31ST MARCH</t>
  </si>
  <si>
    <t>Director Remuniration</t>
  </si>
  <si>
    <t>Office Repair &amp; Maintance</t>
  </si>
  <si>
    <t>Director C/A - Invetment</t>
  </si>
  <si>
    <t>Receivables</t>
  </si>
  <si>
    <t>Profit/(Loss) for the Period</t>
  </si>
  <si>
    <t>(Increase)/Decrease in Receivables</t>
  </si>
  <si>
    <t>Loss</t>
  </si>
  <si>
    <t>Annexure 2 - Business Losses</t>
  </si>
  <si>
    <t>Brought Forward from 2023/2024</t>
  </si>
  <si>
    <t>Business Losses for the year</t>
  </si>
  <si>
    <t>Loss Deducted during the year</t>
  </si>
  <si>
    <t xml:space="preserve">    Deducted against Investment Income</t>
  </si>
  <si>
    <t xml:space="preserve">    Deducted against Business Income</t>
  </si>
  <si>
    <t>Carried Forward to 2025/2026</t>
  </si>
  <si>
    <t>14th May 2026</t>
  </si>
  <si>
    <t>Increase/(Decrease) in Trade Creditors &amp; Other Payable</t>
  </si>
  <si>
    <t>Profit/ (Loss) for the Period</t>
  </si>
  <si>
    <t>Kuruwita</t>
  </si>
  <si>
    <t>Administrative Expenses</t>
  </si>
  <si>
    <t>EPF ETF</t>
  </si>
  <si>
    <t>Liabilities</t>
  </si>
  <si>
    <t>Equity</t>
  </si>
  <si>
    <t>Expenses</t>
  </si>
  <si>
    <t>Accounts</t>
  </si>
  <si>
    <t>N K R S Lanka Capital Pvt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</si>
</sst>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_(* #,##0_);_(* \(#,##0\);_(* &quot;-&quot;??_);_(@_)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0"/>
      <color rgb="FF000000"/>
      <name val="Trebuchet MS"/>
      <family val="2"/>
    </font>
    <font>
      <sz val="10"/>
      <color rgb="FF000000"/>
      <name val="Trebuchet MS"/>
      <family val="2"/>
    </font>
    <font>
      <b/>
      <sz val="10"/>
      <name val="Trebuchet MS"/>
      <family val="2"/>
    </font>
    <font>
      <sz val="10"/>
      <name val="Trebuchet MS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  <font>
      <b/>
      <u/>
      <sz val="10"/>
      <color rgb="FF000000"/>
      <name val="Trebuchet MS"/>
      <family val="2"/>
    </font>
    <font>
      <sz val="10"/>
      <color theme="0"/>
      <name val="Trebuchet MS"/>
      <family val="2"/>
    </font>
    <font>
      <b/>
      <i/>
      <sz val="10"/>
      <color rgb="FF000000"/>
      <name val="Trebuchet MS"/>
      <family val="2"/>
    </font>
    <font>
      <b/>
      <i/>
      <sz val="10"/>
      <name val="Trebuchet MS"/>
      <family val="2"/>
    </font>
    <font>
      <i/>
      <sz val="10"/>
      <name val="Trebuchet MS"/>
      <family val="2"/>
    </font>
    <font>
      <sz val="11"/>
      <color theme="1"/>
      <name val="Times New Roman"/>
      <family val="1"/>
    </font>
    <font>
      <u/>
      <sz val="10"/>
      <color theme="1"/>
      <name val="Trebuchet MS"/>
      <family val="2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164" fontId="2" fillId="0" borderId="0" applyBorder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0" fillId="0" borderId="0"/>
  </cellStyleXfs>
  <cellXfs count="244">
    <xf numFmtId="0" fontId="0" fillId="0" borderId="0" xfId="0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center"/>
    </xf>
    <xf numFmtId="49" fontId="8" fillId="0" borderId="0" xfId="0" applyNumberFormat="1" applyFont="1"/>
    <xf numFmtId="49" fontId="8" fillId="0" borderId="0" xfId="0" applyNumberFormat="1" applyFont="1" applyAlignment="1">
      <alignment horizontal="left"/>
    </xf>
    <xf numFmtId="0" fontId="8" fillId="0" borderId="0" xfId="0" applyFont="1" applyAlignment="1">
      <alignment vertical="center"/>
    </xf>
    <xf numFmtId="164" fontId="8" fillId="0" borderId="0" xfId="1" applyNumberFormat="1" applyFont="1" applyBorder="1"/>
    <xf numFmtId="164" fontId="8" fillId="0" borderId="0" xfId="1" applyNumberFormat="1" applyFont="1"/>
    <xf numFmtId="0" fontId="11" fillId="0" borderId="0" xfId="0" quotePrefix="1" applyFont="1" applyAlignment="1">
      <alignment horizontal="center"/>
    </xf>
    <xf numFmtId="0" fontId="11" fillId="0" borderId="0" xfId="0" applyFont="1" applyAlignment="1">
      <alignment horizontal="center"/>
    </xf>
    <xf numFmtId="0" fontId="9" fillId="0" borderId="0" xfId="19" applyNumberFormat="1" applyFont="1" applyFill="1" applyAlignment="1"/>
    <xf numFmtId="0" fontId="9" fillId="0" borderId="0" xfId="19" applyNumberFormat="1" applyFont="1" applyFill="1" applyAlignment="1">
      <alignment vertical="center"/>
    </xf>
    <xf numFmtId="0" fontId="12" fillId="0" borderId="0" xfId="0" applyFont="1"/>
    <xf numFmtId="165" fontId="8" fillId="0" borderId="0" xfId="1" applyNumberFormat="1" applyFont="1" applyFill="1"/>
    <xf numFmtId="0" fontId="8" fillId="0" borderId="0" xfId="0" applyFont="1" applyAlignment="1">
      <alignment horizontal="center"/>
    </xf>
    <xf numFmtId="165" fontId="7" fillId="0" borderId="0" xfId="1" applyNumberFormat="1" applyFont="1" applyFill="1" applyAlignment="1">
      <alignment horizontal="center"/>
    </xf>
    <xf numFmtId="165" fontId="8" fillId="0" borderId="0" xfId="4" applyNumberFormat="1" applyFont="1" applyBorder="1"/>
    <xf numFmtId="0" fontId="10" fillId="0" borderId="0" xfId="0" applyFont="1"/>
    <xf numFmtId="49" fontId="9" fillId="0" borderId="0" xfId="19" applyNumberFormat="1" applyFont="1" applyFill="1" applyBorder="1" applyAlignment="1">
      <alignment vertical="center"/>
    </xf>
    <xf numFmtId="43" fontId="10" fillId="0" borderId="0" xfId="1" applyFont="1" applyFill="1"/>
    <xf numFmtId="166" fontId="10" fillId="0" borderId="0" xfId="1" applyNumberFormat="1" applyFont="1" applyFill="1"/>
    <xf numFmtId="166" fontId="14" fillId="0" borderId="0" xfId="1" applyNumberFormat="1" applyFont="1" applyFill="1"/>
    <xf numFmtId="43" fontId="14" fillId="0" borderId="0" xfId="1" applyFont="1" applyFill="1"/>
    <xf numFmtId="43" fontId="10" fillId="0" borderId="0" xfId="1" applyFont="1" applyFill="1" applyAlignment="1">
      <alignment vertical="top"/>
    </xf>
    <xf numFmtId="43" fontId="10" fillId="0" borderId="0" xfId="1" applyFont="1" applyFill="1" applyAlignment="1">
      <alignment horizontal="left" vertical="top" wrapText="1"/>
    </xf>
    <xf numFmtId="43" fontId="10" fillId="0" borderId="0" xfId="1" applyFont="1" applyFill="1" applyAlignment="1">
      <alignment vertical="top" wrapText="1"/>
    </xf>
    <xf numFmtId="0" fontId="10" fillId="0" borderId="0" xfId="11" applyNumberFormat="1" applyFont="1" applyFill="1" applyAlignment="1"/>
    <xf numFmtId="0" fontId="10" fillId="0" borderId="0" xfId="11" applyNumberFormat="1" applyFont="1" applyFill="1" applyAlignment="1">
      <alignment vertical="center"/>
    </xf>
    <xf numFmtId="43" fontId="12" fillId="0" borderId="0" xfId="0" applyNumberFormat="1" applyFont="1"/>
    <xf numFmtId="0" fontId="11" fillId="0" borderId="0" xfId="0" applyFont="1"/>
    <xf numFmtId="0" fontId="11" fillId="0" borderId="0" xfId="0" applyFont="1" applyAlignment="1">
      <alignment horizontal="center" vertical="center" wrapText="1"/>
    </xf>
    <xf numFmtId="166" fontId="12" fillId="0" borderId="0" xfId="0" applyNumberFormat="1" applyFont="1"/>
    <xf numFmtId="166" fontId="11" fillId="0" borderId="0" xfId="0" applyNumberFormat="1" applyFont="1"/>
    <xf numFmtId="0" fontId="15" fillId="0" borderId="0" xfId="0" applyFont="1"/>
    <xf numFmtId="0" fontId="16" fillId="0" borderId="0" xfId="6" applyFont="1" applyAlignment="1">
      <alignment vertical="center"/>
    </xf>
    <xf numFmtId="0" fontId="9" fillId="0" borderId="0" xfId="5" applyFont="1" applyAlignment="1">
      <alignment horizontal="center" vertical="center"/>
    </xf>
    <xf numFmtId="0" fontId="9" fillId="0" borderId="0" xfId="5" applyFont="1" applyAlignment="1">
      <alignment horizontal="left" vertical="center"/>
    </xf>
    <xf numFmtId="165" fontId="8" fillId="0" borderId="0" xfId="4" applyNumberFormat="1" applyFont="1"/>
    <xf numFmtId="165" fontId="7" fillId="0" borderId="0" xfId="4" applyNumberFormat="1" applyFont="1" applyBorder="1" applyAlignment="1" applyProtection="1">
      <alignment horizontal="center" vertical="center" wrapText="1"/>
    </xf>
    <xf numFmtId="165" fontId="7" fillId="0" borderId="0" xfId="4" applyNumberFormat="1" applyFont="1" applyBorder="1" applyAlignment="1" applyProtection="1">
      <alignment horizontal="center" vertical="center"/>
    </xf>
    <xf numFmtId="165" fontId="7" fillId="0" borderId="0" xfId="4" applyNumberFormat="1" applyFont="1" applyAlignment="1">
      <alignment vertical="center"/>
    </xf>
    <xf numFmtId="165" fontId="7" fillId="0" borderId="0" xfId="4" applyNumberFormat="1" applyFont="1" applyBorder="1" applyAlignment="1">
      <alignment vertical="center"/>
    </xf>
    <xf numFmtId="49" fontId="7" fillId="0" borderId="0" xfId="4" applyNumberFormat="1" applyFont="1" applyAlignment="1">
      <alignment horizontal="center" vertical="center" wrapText="1" readingOrder="1"/>
    </xf>
    <xf numFmtId="0" fontId="10" fillId="0" borderId="0" xfId="5" applyFont="1" applyAlignment="1">
      <alignment horizontal="left" vertical="center"/>
    </xf>
    <xf numFmtId="165" fontId="8" fillId="0" borderId="0" xfId="4" applyNumberFormat="1" applyFont="1" applyBorder="1" applyAlignment="1" applyProtection="1">
      <alignment horizontal="center"/>
    </xf>
    <xf numFmtId="165" fontId="7" fillId="0" borderId="0" xfId="4" applyNumberFormat="1" applyFont="1" applyBorder="1"/>
    <xf numFmtId="165" fontId="7" fillId="0" borderId="0" xfId="4" applyNumberFormat="1" applyFont="1" applyBorder="1" applyAlignment="1" applyProtection="1">
      <alignment horizontal="center"/>
    </xf>
    <xf numFmtId="165" fontId="7" fillId="0" borderId="0" xfId="4" applyNumberFormat="1" applyFont="1"/>
    <xf numFmtId="9" fontId="8" fillId="0" borderId="0" xfId="9" applyFont="1"/>
    <xf numFmtId="0" fontId="10" fillId="0" borderId="0" xfId="5" applyFont="1" applyAlignment="1">
      <alignment horizontal="center" vertical="center"/>
    </xf>
    <xf numFmtId="165" fontId="8" fillId="0" borderId="0" xfId="4" applyNumberFormat="1" applyFont="1" applyBorder="1" applyProtection="1"/>
    <xf numFmtId="165" fontId="7" fillId="0" borderId="2" xfId="4" applyNumberFormat="1" applyFont="1" applyBorder="1"/>
    <xf numFmtId="0" fontId="10" fillId="0" borderId="0" xfId="0" applyFont="1" applyAlignment="1">
      <alignment horizontal="left" vertical="center"/>
    </xf>
    <xf numFmtId="165" fontId="10" fillId="0" borderId="0" xfId="4" applyNumberFormat="1" applyFont="1" applyBorder="1" applyAlignment="1" applyProtection="1">
      <alignment horizontal="left" vertical="center"/>
    </xf>
    <xf numFmtId="0" fontId="9" fillId="0" borderId="0" xfId="4" applyNumberFormat="1" applyFont="1" applyBorder="1" applyAlignment="1" applyProtection="1">
      <alignment vertical="top"/>
    </xf>
    <xf numFmtId="0" fontId="10" fillId="0" borderId="0" xfId="4" applyNumberFormat="1" applyFont="1" applyBorder="1" applyProtection="1"/>
    <xf numFmtId="1" fontId="9" fillId="0" borderId="0" xfId="7" applyNumberFormat="1" applyFont="1" applyAlignment="1">
      <alignment horizontal="center" vertical="center"/>
    </xf>
    <xf numFmtId="0" fontId="9" fillId="0" borderId="0" xfId="8" applyFont="1" applyAlignment="1">
      <alignment horizontal="left" vertical="center"/>
    </xf>
    <xf numFmtId="165" fontId="10" fillId="0" borderId="0" xfId="4" applyNumberFormat="1" applyFont="1" applyBorder="1" applyProtection="1"/>
    <xf numFmtId="165" fontId="7" fillId="0" borderId="0" xfId="4" applyNumberFormat="1" applyFont="1" applyBorder="1" applyProtection="1"/>
    <xf numFmtId="0" fontId="9" fillId="0" borderId="0" xfId="7" applyFont="1" applyAlignment="1">
      <alignment horizontal="left" vertical="center"/>
    </xf>
    <xf numFmtId="43" fontId="12" fillId="0" borderId="0" xfId="1" applyFont="1"/>
    <xf numFmtId="0" fontId="9" fillId="0" borderId="0" xfId="0" applyFont="1"/>
    <xf numFmtId="0" fontId="10" fillId="0" borderId="0" xfId="10" applyFont="1"/>
    <xf numFmtId="0" fontId="12" fillId="0" borderId="0" xfId="0" applyFont="1" applyAlignment="1">
      <alignment horizontal="center"/>
    </xf>
    <xf numFmtId="164" fontId="8" fillId="0" borderId="0" xfId="4" applyFont="1"/>
    <xf numFmtId="0" fontId="16" fillId="0" borderId="0" xfId="6" applyFont="1" applyAlignment="1">
      <alignment horizontal="left" vertical="center"/>
    </xf>
    <xf numFmtId="165" fontId="7" fillId="0" borderId="0" xfId="4" applyNumberFormat="1" applyFont="1" applyAlignment="1">
      <alignment horizontal="center"/>
    </xf>
    <xf numFmtId="164" fontId="7" fillId="0" borderId="0" xfId="4" applyFont="1" applyAlignment="1">
      <alignment horizontal="center"/>
    </xf>
    <xf numFmtId="164" fontId="8" fillId="0" borderId="0" xfId="4" applyFont="1" applyBorder="1" applyProtection="1"/>
    <xf numFmtId="165" fontId="7" fillId="0" borderId="2" xfId="4" applyNumberFormat="1" applyFont="1" applyBorder="1" applyProtection="1"/>
    <xf numFmtId="9" fontId="8" fillId="0" borderId="0" xfId="9" applyFont="1" applyFill="1" applyBorder="1" applyProtection="1"/>
    <xf numFmtId="43" fontId="8" fillId="0" borderId="0" xfId="1" applyFont="1" applyFill="1"/>
    <xf numFmtId="43" fontId="8" fillId="0" borderId="0" xfId="0" applyNumberFormat="1" applyFont="1"/>
    <xf numFmtId="164" fontId="8" fillId="0" borderId="0" xfId="4" applyFont="1" applyBorder="1"/>
    <xf numFmtId="0" fontId="8" fillId="0" borderId="0" xfId="0" applyFont="1" applyAlignment="1">
      <alignment horizontal="center" vertical="center"/>
    </xf>
    <xf numFmtId="165" fontId="8" fillId="0" borderId="0" xfId="0" applyNumberFormat="1" applyFont="1"/>
    <xf numFmtId="164" fontId="8" fillId="0" borderId="0" xfId="0" applyNumberFormat="1" applyFont="1"/>
    <xf numFmtId="0" fontId="9" fillId="0" borderId="0" xfId="6" applyFont="1" applyAlignment="1">
      <alignment vertical="center"/>
    </xf>
    <xf numFmtId="0" fontId="9" fillId="0" borderId="0" xfId="6" applyFont="1" applyAlignment="1">
      <alignment horizontal="center" vertical="center"/>
    </xf>
    <xf numFmtId="0" fontId="17" fillId="0" borderId="0" xfId="6" applyFont="1" applyAlignment="1">
      <alignment vertical="center"/>
    </xf>
    <xf numFmtId="165" fontId="10" fillId="0" borderId="2" xfId="4" applyNumberFormat="1" applyFont="1" applyBorder="1" applyAlignment="1" applyProtection="1">
      <alignment horizontal="left" vertical="center"/>
    </xf>
    <xf numFmtId="165" fontId="10" fillId="0" borderId="0" xfId="4" applyNumberFormat="1" applyFont="1" applyBorder="1" applyAlignment="1" applyProtection="1">
      <alignment vertical="center"/>
    </xf>
    <xf numFmtId="43" fontId="11" fillId="0" borderId="0" xfId="1" applyFont="1" applyAlignment="1">
      <alignment horizontal="center" vertical="center" wrapText="1"/>
    </xf>
    <xf numFmtId="43" fontId="7" fillId="0" borderId="0" xfId="1" applyFont="1" applyFill="1" applyAlignment="1">
      <alignment horizontal="center"/>
    </xf>
    <xf numFmtId="165" fontId="9" fillId="0" borderId="0" xfId="4" applyNumberFormat="1" applyFont="1" applyBorder="1" applyAlignment="1" applyProtection="1">
      <alignment horizontal="center" vertical="center"/>
    </xf>
    <xf numFmtId="0" fontId="9" fillId="0" borderId="0" xfId="0" applyFont="1" applyAlignment="1">
      <alignment horizontal="left" vertical="center"/>
    </xf>
    <xf numFmtId="166" fontId="18" fillId="0" borderId="0" xfId="1" applyNumberFormat="1" applyFont="1" applyFill="1" applyBorder="1"/>
    <xf numFmtId="43" fontId="10" fillId="0" borderId="0" xfId="0" applyNumberFormat="1" applyFont="1"/>
    <xf numFmtId="0" fontId="11" fillId="0" borderId="0" xfId="0" applyFont="1" applyAlignment="1">
      <alignment horizontal="center" wrapText="1"/>
    </xf>
    <xf numFmtId="0" fontId="9" fillId="0" borderId="0" xfId="6" applyFont="1" applyAlignment="1">
      <alignment horizontal="left" vertical="center"/>
    </xf>
    <xf numFmtId="0" fontId="11" fillId="0" borderId="0" xfId="0" applyFont="1" applyAlignment="1">
      <alignment vertical="center"/>
    </xf>
    <xf numFmtId="166" fontId="9" fillId="0" borderId="0" xfId="19" applyNumberFormat="1" applyFont="1" applyFill="1" applyAlignment="1">
      <alignment horizontal="right" vertical="center"/>
    </xf>
    <xf numFmtId="166" fontId="9" fillId="0" borderId="0" xfId="19" applyNumberFormat="1" applyFont="1" applyFill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9" fillId="0" borderId="0" xfId="0" applyFont="1"/>
    <xf numFmtId="166" fontId="10" fillId="0" borderId="4" xfId="1" applyNumberFormat="1" applyFont="1" applyFill="1" applyBorder="1"/>
    <xf numFmtId="49" fontId="12" fillId="0" borderId="0" xfId="1" applyNumberFormat="1" applyFont="1" applyFill="1" applyAlignment="1">
      <alignment horizontal="center"/>
    </xf>
    <xf numFmtId="166" fontId="10" fillId="0" borderId="3" xfId="1" applyNumberFormat="1" applyFont="1" applyFill="1" applyBorder="1"/>
    <xf numFmtId="166" fontId="12" fillId="0" borderId="0" xfId="1" applyNumberFormat="1" applyFont="1" applyFill="1"/>
    <xf numFmtId="0" fontId="10" fillId="0" borderId="0" xfId="17" applyFont="1"/>
    <xf numFmtId="0" fontId="10" fillId="0" borderId="0" xfId="17" quotePrefix="1" applyFont="1"/>
    <xf numFmtId="0" fontId="12" fillId="0" borderId="0" xfId="20" applyFont="1"/>
    <xf numFmtId="166" fontId="12" fillId="0" borderId="0" xfId="1" applyNumberFormat="1" applyFont="1" applyFill="1" applyBorder="1"/>
    <xf numFmtId="166" fontId="12" fillId="0" borderId="4" xfId="1" applyNumberFormat="1" applyFont="1" applyFill="1" applyBorder="1"/>
    <xf numFmtId="166" fontId="11" fillId="0" borderId="5" xfId="1" applyNumberFormat="1" applyFont="1" applyFill="1" applyBorder="1"/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2" fillId="0" borderId="0" xfId="0" applyFont="1" applyAlignment="1">
      <alignment horizontal="center" wrapText="1"/>
    </xf>
    <xf numFmtId="166" fontId="10" fillId="0" borderId="0" xfId="1" applyNumberFormat="1" applyFont="1" applyBorder="1"/>
    <xf numFmtId="166" fontId="9" fillId="0" borderId="0" xfId="1" applyNumberFormat="1" applyFont="1" applyBorder="1"/>
    <xf numFmtId="0" fontId="10" fillId="0" borderId="0" xfId="8" applyFont="1" applyAlignment="1">
      <alignment horizontal="left" vertical="center"/>
    </xf>
    <xf numFmtId="43" fontId="8" fillId="0" borderId="0" xfId="1" applyFont="1" applyFill="1" applyAlignment="1">
      <alignment horizontal="center"/>
    </xf>
    <xf numFmtId="43" fontId="8" fillId="0" borderId="2" xfId="1" applyFont="1" applyFill="1" applyBorder="1"/>
    <xf numFmtId="43" fontId="8" fillId="0" borderId="2" xfId="1" applyFont="1" applyFill="1" applyBorder="1" applyAlignment="1">
      <alignment horizontal="center"/>
    </xf>
    <xf numFmtId="43" fontId="8" fillId="0" borderId="0" xfId="1" applyFont="1"/>
    <xf numFmtId="43" fontId="8" fillId="0" borderId="0" xfId="1" applyFont="1" applyBorder="1"/>
    <xf numFmtId="43" fontId="8" fillId="0" borderId="0" xfId="1" applyFont="1" applyFill="1" applyBorder="1" applyAlignment="1">
      <alignment vertical="center"/>
    </xf>
    <xf numFmtId="43" fontId="8" fillId="0" borderId="0" xfId="1" applyFont="1" applyFill="1" applyBorder="1"/>
    <xf numFmtId="43" fontId="8" fillId="0" borderId="0" xfId="1" applyFont="1" applyAlignment="1">
      <alignment horizontal="center"/>
    </xf>
    <xf numFmtId="43" fontId="8" fillId="0" borderId="4" xfId="1" applyFont="1" applyBorder="1" applyAlignment="1">
      <alignment horizontal="center"/>
    </xf>
    <xf numFmtId="43" fontId="8" fillId="0" borderId="5" xfId="1" applyFont="1" applyBorder="1"/>
    <xf numFmtId="43" fontId="7" fillId="0" borderId="0" xfId="1" applyFont="1" applyBorder="1"/>
    <xf numFmtId="43" fontId="8" fillId="0" borderId="3" xfId="1" applyFont="1" applyFill="1" applyBorder="1"/>
    <xf numFmtId="43" fontId="7" fillId="0" borderId="2" xfId="1" applyFont="1" applyFill="1" applyBorder="1"/>
    <xf numFmtId="43" fontId="8" fillId="0" borderId="1" xfId="1" applyFont="1" applyFill="1" applyBorder="1"/>
    <xf numFmtId="43" fontId="12" fillId="0" borderId="0" xfId="1" applyFont="1" applyAlignment="1">
      <alignment horizontal="center" vertical="center" wrapText="1"/>
    </xf>
    <xf numFmtId="43" fontId="11" fillId="0" borderId="0" xfId="1" applyFont="1"/>
    <xf numFmtId="43" fontId="8" fillId="0" borderId="0" xfId="1" applyFont="1" applyBorder="1" applyAlignment="1" applyProtection="1">
      <alignment horizontal="center"/>
    </xf>
    <xf numFmtId="43" fontId="8" fillId="0" borderId="2" xfId="1" applyFont="1" applyBorder="1" applyAlignment="1" applyProtection="1">
      <alignment horizontal="center"/>
    </xf>
    <xf numFmtId="43" fontId="10" fillId="0" borderId="2" xfId="1" applyFont="1" applyBorder="1" applyAlignment="1" applyProtection="1">
      <alignment horizontal="left" vertical="center"/>
    </xf>
    <xf numFmtId="43" fontId="10" fillId="0" borderId="0" xfId="1" applyFont="1" applyBorder="1" applyAlignment="1" applyProtection="1">
      <alignment horizontal="left" vertical="center"/>
    </xf>
    <xf numFmtId="43" fontId="10" fillId="0" borderId="0" xfId="1" applyFont="1" applyBorder="1" applyProtection="1"/>
    <xf numFmtId="166" fontId="12" fillId="0" borderId="3" xfId="1" applyNumberFormat="1" applyFont="1" applyFill="1" applyBorder="1" applyAlignment="1">
      <alignment horizontal="center"/>
    </xf>
    <xf numFmtId="43" fontId="8" fillId="0" borderId="0" xfId="1" applyFont="1" applyAlignment="1">
      <alignment horizontal="center" vertical="center" readingOrder="1"/>
    </xf>
    <xf numFmtId="43" fontId="7" fillId="0" borderId="2" xfId="1" applyFont="1" applyBorder="1"/>
    <xf numFmtId="43" fontId="12" fillId="0" borderId="0" xfId="0" applyNumberFormat="1" applyFont="1" applyAlignment="1">
      <alignment horizontal="center" wrapText="1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8" fillId="2" borderId="0" xfId="0" applyFont="1" applyFill="1"/>
    <xf numFmtId="166" fontId="8" fillId="0" borderId="0" xfId="1" applyNumberFormat="1" applyFont="1" applyFill="1"/>
    <xf numFmtId="0" fontId="13" fillId="0" borderId="0" xfId="0" applyFont="1"/>
    <xf numFmtId="166" fontId="8" fillId="0" borderId="0" xfId="0" applyNumberFormat="1" applyFont="1"/>
    <xf numFmtId="0" fontId="8" fillId="0" borderId="0" xfId="0" applyFont="1" applyAlignment="1">
      <alignment horizontal="left" vertical="top"/>
    </xf>
    <xf numFmtId="49" fontId="8" fillId="0" borderId="0" xfId="0" applyNumberFormat="1" applyFont="1" applyAlignment="1">
      <alignment readingOrder="1"/>
    </xf>
    <xf numFmtId="0" fontId="7" fillId="0" borderId="0" xfId="0" applyFont="1" applyAlignment="1">
      <alignment horizontal="left"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horizontal="left" vertical="top" wrapText="1"/>
    </xf>
    <xf numFmtId="0" fontId="10" fillId="0" borderId="0" xfId="0" applyFont="1" applyAlignment="1">
      <alignment vertical="top" wrapText="1"/>
    </xf>
    <xf numFmtId="166" fontId="9" fillId="0" borderId="0" xfId="19" applyNumberFormat="1" applyFont="1" applyFill="1" applyAlignment="1">
      <alignment horizontal="right"/>
    </xf>
    <xf numFmtId="0" fontId="18" fillId="0" borderId="0" xfId="0" applyFont="1"/>
    <xf numFmtId="43" fontId="18" fillId="0" borderId="0" xfId="0" applyNumberFormat="1" applyFont="1"/>
    <xf numFmtId="0" fontId="18" fillId="0" borderId="0" xfId="0" applyFont="1" applyAlignment="1">
      <alignment horizontal="left"/>
    </xf>
    <xf numFmtId="166" fontId="18" fillId="0" borderId="0" xfId="0" applyNumberFormat="1" applyFont="1"/>
    <xf numFmtId="43" fontId="0" fillId="0" borderId="0" xfId="1" applyFont="1"/>
    <xf numFmtId="17" fontId="0" fillId="0" borderId="0" xfId="0" applyNumberFormat="1"/>
    <xf numFmtId="43" fontId="0" fillId="0" borderId="2" xfId="1" applyFont="1" applyBorder="1"/>
    <xf numFmtId="43" fontId="0" fillId="2" borderId="2" xfId="1" applyFont="1" applyFill="1" applyBorder="1"/>
    <xf numFmtId="43" fontId="0" fillId="2" borderId="0" xfId="1" applyFont="1" applyFill="1"/>
    <xf numFmtId="0" fontId="9" fillId="0" borderId="0" xfId="0" applyFont="1" applyFill="1"/>
    <xf numFmtId="166" fontId="12" fillId="0" borderId="0" xfId="1" applyNumberFormat="1" applyFont="1"/>
    <xf numFmtId="0" fontId="11" fillId="0" borderId="0" xfId="0" applyFont="1" applyFill="1"/>
    <xf numFmtId="0" fontId="9" fillId="0" borderId="0" xfId="0" applyFont="1" applyFill="1" applyAlignment="1">
      <alignment vertical="center"/>
    </xf>
    <xf numFmtId="43" fontId="10" fillId="0" borderId="0" xfId="1" applyFont="1" applyAlignment="1">
      <alignment horizontal="center" vertical="center"/>
    </xf>
    <xf numFmtId="0" fontId="12" fillId="0" borderId="0" xfId="0" applyFont="1" applyFill="1"/>
    <xf numFmtId="0" fontId="10" fillId="0" borderId="0" xfId="0" applyFont="1" applyFill="1"/>
    <xf numFmtId="0" fontId="7" fillId="0" borderId="0" xfId="0" applyFont="1" applyFill="1"/>
    <xf numFmtId="43" fontId="12" fillId="0" borderId="2" xfId="1" applyFont="1" applyBorder="1"/>
    <xf numFmtId="0" fontId="12" fillId="0" borderId="0" xfId="0" applyFont="1" applyFill="1" applyAlignment="1">
      <alignment horizontal="left"/>
    </xf>
    <xf numFmtId="43" fontId="8" fillId="0" borderId="2" xfId="1" applyFont="1" applyFill="1" applyBorder="1" applyAlignment="1" applyProtection="1">
      <alignment horizontal="center"/>
    </xf>
    <xf numFmtId="0" fontId="11" fillId="0" borderId="0" xfId="0" applyFont="1" applyFill="1" applyAlignment="1">
      <alignment horizontal="center" vertical="center" wrapText="1"/>
    </xf>
    <xf numFmtId="0" fontId="11" fillId="0" borderId="0" xfId="0" quotePrefix="1" applyFont="1" applyFill="1" applyAlignment="1">
      <alignment horizontal="center"/>
    </xf>
    <xf numFmtId="166" fontId="11" fillId="0" borderId="0" xfId="0" applyNumberFormat="1" applyFont="1" applyFill="1"/>
    <xf numFmtId="0" fontId="12" fillId="0" borderId="0" xfId="0" applyFont="1" applyFill="1" applyAlignment="1">
      <alignment wrapText="1"/>
    </xf>
    <xf numFmtId="0" fontId="10" fillId="0" borderId="0" xfId="0" applyFont="1" applyFill="1" applyAlignment="1">
      <alignment horizontal="center"/>
    </xf>
    <xf numFmtId="0" fontId="10" fillId="0" borderId="0" xfId="22" applyFont="1" applyFill="1"/>
    <xf numFmtId="0" fontId="8" fillId="0" borderId="0" xfId="0" applyFont="1" applyFill="1"/>
    <xf numFmtId="43" fontId="10" fillId="0" borderId="0" xfId="0" applyNumberFormat="1" applyFont="1" applyFill="1"/>
    <xf numFmtId="0" fontId="12" fillId="0" borderId="0" xfId="0" applyFont="1"/>
    <xf numFmtId="165" fontId="7" fillId="0" borderId="0" xfId="1" applyNumberFormat="1" applyFont="1" applyFill="1" applyAlignment="1">
      <alignment horizontal="center"/>
    </xf>
    <xf numFmtId="0" fontId="10" fillId="0" borderId="0" xfId="0" applyFont="1"/>
    <xf numFmtId="43" fontId="10" fillId="0" borderId="0" xfId="1" applyFont="1" applyFill="1"/>
    <xf numFmtId="166" fontId="10" fillId="0" borderId="0" xfId="1" applyNumberFormat="1" applyFont="1" applyFill="1"/>
    <xf numFmtId="43" fontId="12" fillId="0" borderId="0" xfId="1" applyFont="1"/>
    <xf numFmtId="0" fontId="12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166" fontId="12" fillId="0" borderId="0" xfId="1" applyNumberFormat="1" applyFont="1" applyFill="1" applyAlignment="1">
      <alignment horizontal="center" vertical="center" wrapText="1"/>
    </xf>
    <xf numFmtId="166" fontId="10" fillId="0" borderId="4" xfId="1" applyNumberFormat="1" applyFont="1" applyFill="1" applyBorder="1"/>
    <xf numFmtId="0" fontId="9" fillId="0" borderId="0" xfId="0" applyFont="1" applyAlignment="1">
      <alignment vertical="center"/>
    </xf>
    <xf numFmtId="0" fontId="12" fillId="0" borderId="0" xfId="0" applyFont="1" applyAlignment="1">
      <alignment horizontal="center" wrapText="1"/>
    </xf>
    <xf numFmtId="43" fontId="12" fillId="0" borderId="0" xfId="1" applyFont="1" applyFill="1" applyBorder="1" applyAlignment="1">
      <alignment wrapText="1"/>
    </xf>
    <xf numFmtId="43" fontId="12" fillId="0" borderId="0" xfId="1" applyFont="1" applyFill="1"/>
    <xf numFmtId="43" fontId="12" fillId="0" borderId="1" xfId="1" applyFont="1" applyFill="1" applyBorder="1"/>
    <xf numFmtId="43" fontId="12" fillId="0" borderId="3" xfId="1" applyFont="1" applyFill="1" applyBorder="1"/>
    <xf numFmtId="43" fontId="12" fillId="0" borderId="2" xfId="1" applyFont="1" applyFill="1" applyBorder="1"/>
    <xf numFmtId="43" fontId="12" fillId="0" borderId="0" xfId="0" applyNumberFormat="1" applyFont="1" applyAlignment="1">
      <alignment horizontal="center" wrapText="1"/>
    </xf>
    <xf numFmtId="43" fontId="9" fillId="0" borderId="0" xfId="1" applyFont="1" applyAlignment="1">
      <alignment horizontal="center" vertical="center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18" fillId="0" borderId="0" xfId="0" applyFont="1"/>
    <xf numFmtId="166" fontId="12" fillId="0" borderId="4" xfId="0" applyNumberFormat="1" applyFont="1" applyBorder="1"/>
    <xf numFmtId="166" fontId="9" fillId="0" borderId="0" xfId="19" applyNumberFormat="1" applyFont="1" applyFill="1" applyAlignment="1">
      <alignment horizontal="right"/>
    </xf>
    <xf numFmtId="43" fontId="10" fillId="0" borderId="2" xfId="1" applyFont="1" applyFill="1" applyBorder="1"/>
    <xf numFmtId="166" fontId="12" fillId="0" borderId="4" xfId="1" applyNumberFormat="1" applyFont="1" applyBorder="1"/>
    <xf numFmtId="166" fontId="12" fillId="0" borderId="2" xfId="1" applyNumberFormat="1" applyFont="1" applyBorder="1"/>
    <xf numFmtId="0" fontId="8" fillId="2" borderId="0" xfId="0" applyFont="1" applyFill="1" applyAlignment="1">
      <alignment horizontal="center"/>
    </xf>
    <xf numFmtId="43" fontId="8" fillId="2" borderId="0" xfId="1" applyFont="1" applyFill="1"/>
    <xf numFmtId="0" fontId="21" fillId="0" borderId="0" xfId="0" applyFont="1"/>
    <xf numFmtId="166" fontId="22" fillId="0" borderId="0" xfId="0" applyNumberFormat="1" applyFont="1" applyAlignment="1">
      <alignment horizontal="center" vertical="top"/>
    </xf>
    <xf numFmtId="166" fontId="22" fillId="0" borderId="0" xfId="1" applyNumberFormat="1" applyFont="1" applyFill="1" applyAlignment="1">
      <alignment horizontal="center" vertical="top"/>
    </xf>
    <xf numFmtId="0" fontId="22" fillId="0" borderId="0" xfId="0" applyFont="1" applyAlignment="1">
      <alignment horizontal="left" vertical="top"/>
    </xf>
    <xf numFmtId="166" fontId="0" fillId="0" borderId="0" xfId="1" applyNumberFormat="1" applyFont="1" applyFill="1" applyAlignment="1">
      <alignment vertical="top"/>
    </xf>
    <xf numFmtId="0" fontId="23" fillId="0" borderId="0" xfId="0" applyFont="1" applyAlignment="1">
      <alignment horizontal="left" vertical="top"/>
    </xf>
    <xf numFmtId="166" fontId="0" fillId="0" borderId="0" xfId="1" applyNumberFormat="1" applyFont="1" applyFill="1" applyBorder="1"/>
    <xf numFmtId="166" fontId="23" fillId="0" borderId="0" xfId="1" applyNumberFormat="1" applyFont="1" applyFill="1" applyAlignment="1">
      <alignment vertical="top"/>
    </xf>
    <xf numFmtId="0" fontId="23" fillId="0" borderId="0" xfId="0" applyFont="1" applyAlignment="1">
      <alignment vertical="top"/>
    </xf>
    <xf numFmtId="0" fontId="21" fillId="0" borderId="0" xfId="0" applyFont="1" applyAlignment="1">
      <alignment horizontal="left" vertical="top"/>
    </xf>
    <xf numFmtId="166" fontId="0" fillId="0" borderId="2" xfId="1" applyNumberFormat="1" applyFont="1" applyFill="1" applyBorder="1" applyAlignment="1">
      <alignment vertical="top"/>
    </xf>
    <xf numFmtId="166" fontId="24" fillId="0" borderId="0" xfId="1" applyNumberFormat="1" applyFont="1" applyFill="1" applyAlignment="1">
      <alignment vertical="top"/>
    </xf>
    <xf numFmtId="43" fontId="0" fillId="0" borderId="0" xfId="1" applyFont="1" applyFill="1"/>
    <xf numFmtId="166" fontId="23" fillId="0" borderId="0" xfId="1" applyNumberFormat="1" applyFont="1" applyFill="1"/>
    <xf numFmtId="0" fontId="25" fillId="0" borderId="0" xfId="5" applyFont="1" applyAlignment="1">
      <alignment horizontal="left" vertical="center"/>
    </xf>
    <xf numFmtId="0" fontId="26" fillId="0" borderId="0" xfId="5" applyFont="1" applyAlignment="1">
      <alignment horizontal="left" vertical="center"/>
    </xf>
    <xf numFmtId="0" fontId="25" fillId="0" borderId="6" xfId="5" applyFont="1" applyBorder="1" applyAlignment="1">
      <alignment horizontal="center" vertical="center"/>
    </xf>
    <xf numFmtId="0" fontId="25" fillId="0" borderId="6" xfId="5" applyFont="1" applyBorder="1" applyAlignment="1">
      <alignment horizontal="left" vertical="center" wrapText="1"/>
    </xf>
    <xf numFmtId="0" fontId="25" fillId="0" borderId="6" xfId="5" applyFont="1" applyBorder="1" applyAlignment="1">
      <alignment horizontal="left" vertical="center"/>
    </xf>
    <xf numFmtId="0" fontId="1" fillId="0" borderId="0" xfId="0" applyFont="1"/>
    <xf numFmtId="17" fontId="26" fillId="0" borderId="6" xfId="5" applyNumberFormat="1" applyFont="1" applyBorder="1" applyAlignment="1">
      <alignment horizontal="left" vertical="center"/>
    </xf>
    <xf numFmtId="166" fontId="26" fillId="0" borderId="6" xfId="1" quotePrefix="1" applyNumberFormat="1" applyFont="1" applyBorder="1" applyAlignment="1">
      <alignment horizontal="center" vertical="center"/>
    </xf>
    <xf numFmtId="43" fontId="26" fillId="0" borderId="6" xfId="1" applyFont="1" applyBorder="1" applyAlignment="1">
      <alignment horizontal="left" vertical="center"/>
    </xf>
    <xf numFmtId="43" fontId="26" fillId="0" borderId="6" xfId="5" applyNumberFormat="1" applyFont="1" applyBorder="1" applyAlignment="1">
      <alignment horizontal="left" vertical="center"/>
    </xf>
    <xf numFmtId="43" fontId="26" fillId="0" borderId="0" xfId="5" applyNumberFormat="1" applyFont="1" applyAlignment="1">
      <alignment horizontal="left" vertical="center"/>
    </xf>
    <xf numFmtId="0" fontId="26" fillId="0" borderId="6" xfId="5" applyFont="1" applyBorder="1" applyAlignment="1">
      <alignment horizontal="left" vertical="center"/>
    </xf>
    <xf numFmtId="43" fontId="25" fillId="0" borderId="6" xfId="5" applyNumberFormat="1" applyFont="1" applyBorder="1" applyAlignment="1">
      <alignment horizontal="left" vertical="center"/>
    </xf>
    <xf numFmtId="43" fontId="12" fillId="3" borderId="0" xfId="1" applyFont="1" applyFill="1"/>
    <xf numFmtId="43" fontId="12" fillId="3" borderId="0" xfId="1" applyFont="1" applyFill="1" applyAlignment="1">
      <alignment horizontal="center" vertical="center" wrapText="1"/>
    </xf>
    <xf numFmtId="43" fontId="11" fillId="3" borderId="0" xfId="1" applyFont="1" applyFill="1" applyAlignment="1">
      <alignment horizontal="center" vertical="center" wrapText="1"/>
    </xf>
    <xf numFmtId="0" fontId="22" fillId="0" borderId="0" xfId="0" applyFont="1" applyAlignment="1">
      <alignment horizontal="center" vertical="top"/>
    </xf>
    <xf numFmtId="43" fontId="10" fillId="3" borderId="0" xfId="1" applyFont="1" applyFill="1"/>
  </cellXfs>
  <cellStyles count="23">
    <cellStyle name="Comma" xfId="1" builtinId="3"/>
    <cellStyle name="Comma 10" xfId="11" xr:uid="{00000000-0005-0000-0000-000001000000}"/>
    <cellStyle name="Comma 10 10" xfId="4" xr:uid="{00000000-0005-0000-0000-000002000000}"/>
    <cellStyle name="Comma 10 2 2" xfId="14" xr:uid="{00000000-0005-0000-0000-000003000000}"/>
    <cellStyle name="Comma 2" xfId="21" xr:uid="{00000000-0005-0000-0000-000004000000}"/>
    <cellStyle name="Comma 2 2 11" xfId="18" xr:uid="{00000000-0005-0000-0000-000005000000}"/>
    <cellStyle name="Comma 3" xfId="19" xr:uid="{00000000-0005-0000-0000-000006000000}"/>
    <cellStyle name="Normal" xfId="0" builtinId="0"/>
    <cellStyle name="Normal 13 11 2" xfId="3" xr:uid="{00000000-0005-0000-0000-000008000000}"/>
    <cellStyle name="Normal 2" xfId="10" xr:uid="{00000000-0005-0000-0000-000009000000}"/>
    <cellStyle name="Normal 2 10 2" xfId="16" xr:uid="{00000000-0005-0000-0000-00000A000000}"/>
    <cellStyle name="Normal 2 2 10" xfId="6" xr:uid="{00000000-0005-0000-0000-00000B000000}"/>
    <cellStyle name="Normal 2 2 2" xfId="17" xr:uid="{00000000-0005-0000-0000-00000C000000}"/>
    <cellStyle name="Normal 2 7 3" xfId="13" xr:uid="{00000000-0005-0000-0000-00000D000000}"/>
    <cellStyle name="Normal 3" xfId="15" xr:uid="{00000000-0005-0000-0000-00000E000000}"/>
    <cellStyle name="Normal 7" xfId="20" xr:uid="{00000000-0005-0000-0000-00000F000000}"/>
    <cellStyle name="Normal 86" xfId="2" xr:uid="{00000000-0005-0000-0000-000010000000}"/>
    <cellStyle name="Normal 87" xfId="5" xr:uid="{00000000-0005-0000-0000-000011000000}"/>
    <cellStyle name="Normal 88" xfId="7" xr:uid="{00000000-0005-0000-0000-000012000000}"/>
    <cellStyle name="Normal 89" xfId="8" xr:uid="{00000000-0005-0000-0000-000013000000}"/>
    <cellStyle name="Normal_Ajax - 2006-07" xfId="22" xr:uid="{F413FAA8-0C1C-4FA2-A218-0040D496DDC0}"/>
    <cellStyle name="Percent" xfId="9" builtinId="5"/>
    <cellStyle name="Percent 2" xfId="12" xr:uid="{00000000-0005-0000-0000-00001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12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7223760" y="56692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ifraz\Home%20Makers\1516\Home%20Makers%20151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udit%20&amp;%20Tax%20file\Associate%20Professional%20Services%20(pvt)%20ltd\Audited%20Accounts\2324\APS%20Audited%20Accounts%2023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B"/>
      <sheetName val="P&amp;L"/>
      <sheetName val="B S"/>
      <sheetName val="ES"/>
      <sheetName val="CF"/>
      <sheetName val="Notes"/>
      <sheetName val="Com &amp; Aj Pro"/>
      <sheetName val="Cap Allo"/>
      <sheetName val="Deem Dividend"/>
    </sheetNames>
    <sheetDataSet>
      <sheetData sheetId="0">
        <row r="1">
          <cell r="A1" t="str">
            <v>HOME MAKERS (PVT) LTD</v>
          </cell>
        </row>
      </sheetData>
      <sheetData sheetId="1">
        <row r="2">
          <cell r="A2" t="str">
            <v>HOME MAKERS (PVT) LTD</v>
          </cell>
        </row>
      </sheetData>
      <sheetData sheetId="2">
        <row r="14">
          <cell r="A14" t="str">
            <v>Housing Stock</v>
          </cell>
        </row>
      </sheetData>
      <sheetData sheetId="3">
        <row r="2">
          <cell r="A2" t="str">
            <v>HOME MAKERS (PVT) LTD</v>
          </cell>
        </row>
      </sheetData>
      <sheetData sheetId="4">
        <row r="2">
          <cell r="A2" t="str">
            <v>HOME MAKERS (PVT) LTD</v>
          </cell>
        </row>
      </sheetData>
      <sheetData sheetId="5">
        <row r="2">
          <cell r="A2" t="str">
            <v>HOME MAKERS (PVT) LTD</v>
          </cell>
        </row>
      </sheetData>
      <sheetData sheetId="6">
        <row r="3">
          <cell r="A3" t="str">
            <v>HOME MAKERS (PVT) LTD</v>
          </cell>
        </row>
      </sheetData>
      <sheetData sheetId="7">
        <row r="23">
          <cell r="F23">
            <v>835838.8395</v>
          </cell>
        </row>
      </sheetData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PE Working"/>
      <sheetName val="Bank"/>
      <sheetName val="Invoice"/>
      <sheetName val="Expenses"/>
      <sheetName val="TB"/>
      <sheetName val="Income"/>
      <sheetName val="BS"/>
      <sheetName val="CE"/>
      <sheetName val="CF"/>
      <sheetName val="P9"/>
      <sheetName val="P10"/>
      <sheetName val="P11"/>
      <sheetName val="Income Tax"/>
    </sheetNames>
    <sheetDataSet>
      <sheetData sheetId="0"/>
      <sheetData sheetId="1"/>
      <sheetData sheetId="2"/>
      <sheetData sheetId="3"/>
      <sheetData sheetId="4"/>
      <sheetData sheetId="5">
        <row r="6">
          <cell r="D6" t="str">
            <v>Rs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7"/>
  <sheetViews>
    <sheetView workbookViewId="0">
      <selection activeCell="D12" sqref="D12"/>
    </sheetView>
  </sheetViews>
  <sheetFormatPr defaultRowHeight="13.8" x14ac:dyDescent="0.3"/>
  <cols>
    <col min="1" max="1" width="19.109375" style="227" bestFit="1" customWidth="1"/>
    <col min="2" max="2" width="11.77734375" style="227" customWidth="1"/>
    <col min="3" max="3" width="11.6640625" style="227" bestFit="1" customWidth="1"/>
    <col min="4" max="4" width="12.5546875" style="227" bestFit="1" customWidth="1"/>
    <col min="5" max="5" width="14.6640625" style="227" customWidth="1"/>
    <col min="6" max="6" width="12" style="227" customWidth="1"/>
    <col min="7" max="7" width="12.5546875" style="227" customWidth="1"/>
    <col min="8" max="8" width="8.88671875" style="227"/>
    <col min="9" max="9" width="10.6640625" style="227" bestFit="1" customWidth="1"/>
    <col min="10" max="16384" width="8.88671875" style="227"/>
  </cols>
  <sheetData>
    <row r="1" spans="1:9" x14ac:dyDescent="0.3">
      <c r="A1" s="226" t="s">
        <v>114</v>
      </c>
      <c r="C1" s="226"/>
    </row>
    <row r="3" spans="1:9" ht="27.6" x14ac:dyDescent="0.3">
      <c r="A3" s="228" t="s">
        <v>115</v>
      </c>
      <c r="B3" s="229" t="s">
        <v>116</v>
      </c>
      <c r="C3" s="228" t="s">
        <v>119</v>
      </c>
      <c r="D3" s="230" t="s">
        <v>109</v>
      </c>
      <c r="E3" s="229" t="s">
        <v>117</v>
      </c>
      <c r="F3" s="229" t="s">
        <v>162</v>
      </c>
      <c r="G3" s="229" t="s">
        <v>118</v>
      </c>
    </row>
    <row r="4" spans="1:9" ht="14.4" x14ac:dyDescent="0.3">
      <c r="A4" s="231" t="s">
        <v>110</v>
      </c>
      <c r="B4" s="232">
        <v>45385</v>
      </c>
      <c r="C4" s="233">
        <v>5</v>
      </c>
      <c r="D4" s="234">
        <v>153700</v>
      </c>
      <c r="E4" s="232">
        <v>45728</v>
      </c>
      <c r="F4" s="234">
        <f t="shared" ref="F4" si="0">E4-B4</f>
        <v>343</v>
      </c>
      <c r="G4" s="235">
        <f>(D4/C4)*(F4/365)</f>
        <v>28887.178082191782</v>
      </c>
      <c r="I4" s="236"/>
    </row>
    <row r="5" spans="1:9" x14ac:dyDescent="0.3">
      <c r="A5" s="230" t="s">
        <v>27</v>
      </c>
      <c r="B5" s="237"/>
      <c r="C5" s="237"/>
      <c r="D5" s="238">
        <f>SUM(D4:D4)</f>
        <v>153700</v>
      </c>
      <c r="E5" s="237"/>
      <c r="F5" s="237"/>
      <c r="G5" s="238">
        <f>SUM(G4:G4)</f>
        <v>28887.178082191782</v>
      </c>
    </row>
    <row r="7" spans="1:9" x14ac:dyDescent="0.3">
      <c r="D7" s="23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91A8-AC8E-4BB6-A21B-06A29BC55837}">
  <sheetPr codeName="Sheet2"/>
  <dimension ref="A1:D15"/>
  <sheetViews>
    <sheetView workbookViewId="0">
      <selection activeCell="A4" sqref="A4"/>
    </sheetView>
  </sheetViews>
  <sheetFormatPr defaultRowHeight="14.4" x14ac:dyDescent="0.3"/>
  <cols>
    <col min="1" max="1" width="27.6640625" bestFit="1" customWidth="1"/>
    <col min="2" max="2" width="12.5546875" bestFit="1" customWidth="1"/>
    <col min="3" max="3" width="10.109375" bestFit="1" customWidth="1"/>
  </cols>
  <sheetData>
    <row r="1" spans="1:4" x14ac:dyDescent="0.3">
      <c r="A1" s="212" t="s">
        <v>154</v>
      </c>
    </row>
    <row r="2" spans="1:4" x14ac:dyDescent="0.3">
      <c r="A2" t="s">
        <v>107</v>
      </c>
      <c r="B2" s="158">
        <v>2328236</v>
      </c>
    </row>
    <row r="3" spans="1:4" x14ac:dyDescent="0.3">
      <c r="B3" s="158"/>
    </row>
    <row r="4" spans="1:4" x14ac:dyDescent="0.3">
      <c r="A4" s="212" t="s">
        <v>185</v>
      </c>
      <c r="B4" s="158"/>
    </row>
    <row r="5" spans="1:4" x14ac:dyDescent="0.3">
      <c r="A5" t="s">
        <v>151</v>
      </c>
      <c r="B5" s="162">
        <v>99975</v>
      </c>
    </row>
    <row r="6" spans="1:4" x14ac:dyDescent="0.3">
      <c r="B6" s="158"/>
    </row>
    <row r="7" spans="1:4" x14ac:dyDescent="0.3">
      <c r="B7" s="158"/>
    </row>
    <row r="8" spans="1:4" x14ac:dyDescent="0.3">
      <c r="A8" s="212" t="s">
        <v>19</v>
      </c>
      <c r="C8" t="s">
        <v>155</v>
      </c>
    </row>
    <row r="9" spans="1:4" x14ac:dyDescent="0.3">
      <c r="B9" s="158"/>
    </row>
    <row r="10" spans="1:4" x14ac:dyDescent="0.3">
      <c r="B10" s="158"/>
    </row>
    <row r="11" spans="1:4" x14ac:dyDescent="0.3">
      <c r="A11" s="212" t="s">
        <v>186</v>
      </c>
      <c r="B11" s="158"/>
    </row>
    <row r="12" spans="1:4" x14ac:dyDescent="0.3">
      <c r="A12" t="s">
        <v>156</v>
      </c>
      <c r="B12" t="s">
        <v>157</v>
      </c>
      <c r="C12" t="s">
        <v>158</v>
      </c>
      <c r="D12" t="s">
        <v>159</v>
      </c>
    </row>
    <row r="13" spans="1:4" x14ac:dyDescent="0.3">
      <c r="A13" s="159">
        <v>45597</v>
      </c>
      <c r="B13" s="158">
        <v>4200</v>
      </c>
      <c r="C13" s="158">
        <f>B13*12/20</f>
        <v>2520</v>
      </c>
      <c r="D13" s="158">
        <f>C13*3/12</f>
        <v>630</v>
      </c>
    </row>
    <row r="14" spans="1:4" ht="15" thickBot="1" x14ac:dyDescent="0.35">
      <c r="A14" t="s">
        <v>27</v>
      </c>
      <c r="B14" s="160">
        <f>SUM(B13:B13)</f>
        <v>4200</v>
      </c>
      <c r="C14" s="161">
        <f>SUM(C13:C13)</f>
        <v>2520</v>
      </c>
      <c r="D14" s="161">
        <f>SUM(D13:D13)</f>
        <v>630</v>
      </c>
    </row>
    <row r="15" spans="1:4" ht="15" thickTop="1" x14ac:dyDescent="0.3">
      <c r="B15" s="158"/>
      <c r="C15" s="158"/>
      <c r="D15" s="15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25"/>
  <sheetViews>
    <sheetView workbookViewId="0">
      <selection activeCell="B22" sqref="B22"/>
    </sheetView>
  </sheetViews>
  <sheetFormatPr defaultColWidth="9.109375" defaultRowHeight="13.8" x14ac:dyDescent="0.25"/>
  <cols>
    <col min="1" max="1" width="25" style="156" bestFit="1" customWidth="1"/>
    <col min="2" max="2" width="11.109375" style="88" bestFit="1" customWidth="1"/>
    <col min="3" max="3" width="10" style="157" bestFit="1" customWidth="1"/>
    <col min="4" max="4" width="11.5546875" style="154" bestFit="1" customWidth="1"/>
    <col min="5" max="9" width="9.109375" style="154"/>
    <col min="10" max="10" width="11.5546875" style="154" bestFit="1" customWidth="1"/>
    <col min="11" max="16384" width="9.109375" style="154"/>
  </cols>
  <sheetData>
    <row r="1" spans="1:10" ht="14.4" x14ac:dyDescent="0.25">
      <c r="A1" s="242" t="s">
        <v>191</v>
      </c>
      <c r="B1" s="242"/>
      <c r="C1" s="242"/>
    </row>
    <row r="2" spans="1:10" ht="14.4" x14ac:dyDescent="0.25">
      <c r="A2" s="242" t="s">
        <v>16</v>
      </c>
      <c r="B2" s="242"/>
      <c r="C2" s="242"/>
    </row>
    <row r="3" spans="1:10" ht="14.4" x14ac:dyDescent="0.25">
      <c r="A3" s="242" t="s">
        <v>108</v>
      </c>
      <c r="B3" s="242"/>
      <c r="C3" s="242"/>
    </row>
    <row r="4" spans="1:10" ht="14.4" x14ac:dyDescent="0.25">
      <c r="A4" s="221" t="s">
        <v>190</v>
      </c>
      <c r="B4" s="213" t="s">
        <v>17</v>
      </c>
      <c r="C4" s="214" t="s">
        <v>18</v>
      </c>
    </row>
    <row r="5" spans="1:10" ht="14.4" x14ac:dyDescent="0.25">
      <c r="A5" s="215" t="s">
        <v>20</v>
      </c>
      <c r="B5" s="216"/>
      <c r="C5" s="216"/>
    </row>
    <row r="6" spans="1:10" ht="14.4" x14ac:dyDescent="0.25">
      <c r="A6" s="217" t="s">
        <v>120</v>
      </c>
      <c r="B6" s="223">
        <v>12560</v>
      </c>
      <c r="C6" s="216"/>
    </row>
    <row r="7" spans="1:10" ht="14.4" x14ac:dyDescent="0.25">
      <c r="A7" s="215" t="s">
        <v>19</v>
      </c>
      <c r="B7" s="216"/>
      <c r="C7" s="216"/>
      <c r="J7" s="155"/>
    </row>
    <row r="8" spans="1:10" ht="14.4" x14ac:dyDescent="0.25">
      <c r="A8" s="217" t="s">
        <v>110</v>
      </c>
      <c r="B8" s="216">
        <f>+PPE!D4</f>
        <v>153700</v>
      </c>
      <c r="C8" s="216"/>
      <c r="J8" s="155"/>
    </row>
    <row r="9" spans="1:10" ht="14.4" x14ac:dyDescent="0.25">
      <c r="A9" s="217" t="s">
        <v>122</v>
      </c>
      <c r="B9" s="216"/>
      <c r="C9" s="216">
        <f>+PPE!G5</f>
        <v>28887.178082191782</v>
      </c>
    </row>
    <row r="10" spans="1:10" ht="14.4" x14ac:dyDescent="0.25">
      <c r="A10" s="215" t="s">
        <v>187</v>
      </c>
      <c r="B10" s="216"/>
      <c r="C10" s="216"/>
    </row>
    <row r="11" spans="1:10" ht="14.4" x14ac:dyDescent="0.25">
      <c r="A11" s="217" t="s">
        <v>121</v>
      </c>
      <c r="B11" s="216"/>
      <c r="C11" s="216">
        <f>+B22</f>
        <v>15000</v>
      </c>
    </row>
    <row r="12" spans="1:10" ht="14.4" x14ac:dyDescent="0.25">
      <c r="A12" s="217" t="s">
        <v>100</v>
      </c>
      <c r="B12" s="216"/>
      <c r="C12" s="216">
        <f>+B23</f>
        <v>25000</v>
      </c>
    </row>
    <row r="13" spans="1:10" ht="14.4" x14ac:dyDescent="0.3">
      <c r="A13" s="212" t="s">
        <v>188</v>
      </c>
      <c r="B13" s="218"/>
      <c r="C13" s="219"/>
    </row>
    <row r="14" spans="1:10" ht="14.4" x14ac:dyDescent="0.25">
      <c r="A14" s="217" t="s">
        <v>21</v>
      </c>
      <c r="B14" s="216"/>
      <c r="C14" s="216">
        <f>1000*6</f>
        <v>6000</v>
      </c>
    </row>
    <row r="15" spans="1:10" ht="14.4" x14ac:dyDescent="0.25">
      <c r="A15" s="217" t="s">
        <v>169</v>
      </c>
      <c r="B15" s="216"/>
      <c r="C15" s="216">
        <v>1000000</v>
      </c>
    </row>
    <row r="16" spans="1:10" s="204" customFormat="1" ht="14.4" x14ac:dyDescent="0.25">
      <c r="A16" s="215" t="s">
        <v>154</v>
      </c>
      <c r="B16" s="216"/>
      <c r="C16" s="219"/>
    </row>
    <row r="17" spans="1:3" ht="14.4" x14ac:dyDescent="0.3">
      <c r="A17" s="220" t="s">
        <v>170</v>
      </c>
      <c r="B17" s="224">
        <v>112919.5</v>
      </c>
      <c r="C17" s="216"/>
    </row>
    <row r="18" spans="1:3" s="204" customFormat="1" ht="14.4" x14ac:dyDescent="0.3">
      <c r="A18" s="217" t="s">
        <v>107</v>
      </c>
      <c r="B18" s="216"/>
      <c r="C18" s="225">
        <f>+Working!B2</f>
        <v>2328236</v>
      </c>
    </row>
    <row r="19" spans="1:3" ht="14.4" x14ac:dyDescent="0.3">
      <c r="A19" s="212" t="s">
        <v>189</v>
      </c>
      <c r="B19" s="216"/>
      <c r="C19" s="216"/>
    </row>
    <row r="20" spans="1:3" ht="14.4" x14ac:dyDescent="0.25">
      <c r="A20" s="217" t="s">
        <v>165</v>
      </c>
      <c r="B20" s="216">
        <v>1220000</v>
      </c>
      <c r="C20" s="216"/>
    </row>
    <row r="21" spans="1:3" ht="14.4" x14ac:dyDescent="0.25">
      <c r="A21" s="217" t="s">
        <v>142</v>
      </c>
      <c r="B21" s="216">
        <v>1000</v>
      </c>
      <c r="C21" s="216"/>
    </row>
    <row r="22" spans="1:3" ht="14.4" x14ac:dyDescent="0.25">
      <c r="A22" s="217" t="s">
        <v>121</v>
      </c>
      <c r="B22" s="216">
        <v>15000</v>
      </c>
      <c r="C22" s="216"/>
    </row>
    <row r="23" spans="1:3" ht="14.4" x14ac:dyDescent="0.25">
      <c r="A23" s="217" t="s">
        <v>100</v>
      </c>
      <c r="B23" s="216">
        <v>25000</v>
      </c>
      <c r="C23" s="216"/>
    </row>
    <row r="24" spans="1:3" ht="15" thickBot="1" x14ac:dyDescent="0.3">
      <c r="A24" s="221" t="s">
        <v>27</v>
      </c>
      <c r="B24" s="222">
        <f>SUM(B5:B23)</f>
        <v>1540179.5</v>
      </c>
      <c r="C24" s="222">
        <f>SUM(C5:C23)</f>
        <v>3403123.1780821919</v>
      </c>
    </row>
    <row r="25" spans="1:3" ht="14.4" thickTop="1" x14ac:dyDescent="0.25">
      <c r="B25" s="88">
        <f>B24-C24</f>
        <v>-1862943.6780821919</v>
      </c>
    </row>
  </sheetData>
  <mergeCells count="3">
    <mergeCell ref="A1:C1"/>
    <mergeCell ref="A2:C2"/>
    <mergeCell ref="A3:C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J23"/>
  <sheetViews>
    <sheetView zoomScaleNormal="100" zoomScaleSheetLayoutView="102" workbookViewId="0">
      <selection activeCell="L11" sqref="L11"/>
    </sheetView>
  </sheetViews>
  <sheetFormatPr defaultColWidth="8.88671875" defaultRowHeight="14.4" x14ac:dyDescent="0.35"/>
  <cols>
    <col min="1" max="1" width="15.33203125" style="13" customWidth="1"/>
    <col min="2" max="2" width="15.109375" style="13" customWidth="1"/>
    <col min="3" max="3" width="8.33203125" style="13" customWidth="1"/>
    <col min="4" max="4" width="11.88671875" style="13" customWidth="1"/>
    <col min="5" max="5" width="11.5546875" style="13" customWidth="1"/>
    <col min="6" max="6" width="0.5546875" style="13" customWidth="1"/>
    <col min="7" max="7" width="12.109375" style="13" customWidth="1"/>
    <col min="8" max="8" width="0.5546875" style="13" customWidth="1"/>
    <col min="9" max="9" width="12.21875" style="13" customWidth="1"/>
    <col min="10" max="16384" width="8.88671875" style="13"/>
  </cols>
  <sheetData>
    <row r="1" spans="1:10" x14ac:dyDescent="0.35">
      <c r="A1" s="1" t="s">
        <v>149</v>
      </c>
      <c r="B1" s="1"/>
      <c r="C1" s="1"/>
      <c r="D1" s="1"/>
      <c r="E1" s="1"/>
      <c r="F1" s="1"/>
      <c r="G1" s="1"/>
      <c r="H1" s="1"/>
      <c r="I1" s="153" t="s">
        <v>50</v>
      </c>
      <c r="J1" s="1"/>
    </row>
    <row r="2" spans="1:10" s="30" customFormat="1" x14ac:dyDescent="0.35">
      <c r="A2" s="1" t="s">
        <v>51</v>
      </c>
      <c r="B2" s="1"/>
      <c r="C2" s="1"/>
      <c r="D2" s="1"/>
      <c r="E2" s="1"/>
      <c r="F2" s="1"/>
      <c r="G2" s="1"/>
      <c r="H2" s="1"/>
      <c r="I2" s="1"/>
      <c r="J2" s="1"/>
    </row>
    <row r="3" spans="1:10" x14ac:dyDescent="0.35">
      <c r="A3" s="1" t="s">
        <v>124</v>
      </c>
      <c r="B3" s="1"/>
      <c r="C3" s="1"/>
      <c r="D3" s="1"/>
      <c r="E3" s="1"/>
      <c r="F3" s="1"/>
      <c r="G3" s="1"/>
      <c r="H3" s="1"/>
      <c r="I3" s="1"/>
      <c r="J3" s="1"/>
    </row>
    <row r="4" spans="1:10" ht="28.8" x14ac:dyDescent="0.35">
      <c r="E4" s="90" t="s">
        <v>75</v>
      </c>
      <c r="F4" s="31"/>
      <c r="G4" s="90" t="s">
        <v>76</v>
      </c>
      <c r="H4" s="31"/>
      <c r="I4" s="90" t="s">
        <v>77</v>
      </c>
    </row>
    <row r="5" spans="1:10" x14ac:dyDescent="0.35">
      <c r="E5" s="31" t="s">
        <v>11</v>
      </c>
      <c r="F5" s="31"/>
      <c r="G5" s="31" t="s">
        <v>11</v>
      </c>
      <c r="H5" s="31"/>
      <c r="I5" s="31" t="s">
        <v>74</v>
      </c>
    </row>
    <row r="6" spans="1:10" x14ac:dyDescent="0.35">
      <c r="E6" s="31"/>
      <c r="F6" s="31"/>
      <c r="G6" s="31"/>
      <c r="H6" s="31"/>
      <c r="I6" s="31"/>
    </row>
    <row r="7" spans="1:10" x14ac:dyDescent="0.35">
      <c r="A7" s="13" t="s">
        <v>125</v>
      </c>
      <c r="E7" s="241">
        <v>0</v>
      </c>
      <c r="F7" s="84"/>
      <c r="G7" s="241">
        <v>0</v>
      </c>
      <c r="H7" s="84"/>
      <c r="I7" s="84">
        <v>0</v>
      </c>
    </row>
    <row r="8" spans="1:10" x14ac:dyDescent="0.35">
      <c r="E8" s="84"/>
      <c r="F8" s="84"/>
      <c r="G8" s="84"/>
      <c r="H8" s="84"/>
      <c r="I8" s="84"/>
    </row>
    <row r="9" spans="1:10" x14ac:dyDescent="0.35">
      <c r="A9" s="13" t="s">
        <v>70</v>
      </c>
      <c r="E9" s="129">
        <f>+TB!C14</f>
        <v>6000</v>
      </c>
      <c r="F9" s="129"/>
      <c r="G9" s="240">
        <v>0</v>
      </c>
      <c r="H9" s="129"/>
      <c r="I9" s="62">
        <f>+E9</f>
        <v>6000</v>
      </c>
    </row>
    <row r="10" spans="1:10" x14ac:dyDescent="0.35">
      <c r="E10" s="129"/>
      <c r="F10" s="129"/>
      <c r="G10" s="129"/>
      <c r="H10" s="129"/>
      <c r="I10" s="62"/>
    </row>
    <row r="11" spans="1:10" x14ac:dyDescent="0.35">
      <c r="A11" s="13" t="s">
        <v>171</v>
      </c>
      <c r="E11" s="239">
        <v>0</v>
      </c>
      <c r="F11" s="62"/>
      <c r="G11" s="62" t="e">
        <f>+PL!D16</f>
        <v>#REF!</v>
      </c>
      <c r="H11" s="62"/>
      <c r="I11" s="62" t="e">
        <f>G11</f>
        <v>#REF!</v>
      </c>
    </row>
    <row r="12" spans="1:10" x14ac:dyDescent="0.35">
      <c r="E12" s="62"/>
      <c r="F12" s="62"/>
      <c r="G12" s="62"/>
      <c r="H12" s="62"/>
      <c r="I12" s="62"/>
    </row>
    <row r="13" spans="1:10" ht="15" thickBot="1" x14ac:dyDescent="0.4">
      <c r="A13" s="13" t="s">
        <v>126</v>
      </c>
      <c r="E13" s="171">
        <f>SUM(E7:E11)</f>
        <v>6000</v>
      </c>
      <c r="F13" s="187"/>
      <c r="G13" s="171" t="e">
        <f>SUM(G7:G11)</f>
        <v>#REF!</v>
      </c>
      <c r="H13" s="187"/>
      <c r="I13" s="171" t="e">
        <f>SUM(I7:I11)</f>
        <v>#REF!</v>
      </c>
    </row>
    <row r="14" spans="1:10" ht="15" thickTop="1" x14ac:dyDescent="0.35">
      <c r="E14" s="130"/>
      <c r="F14" s="130"/>
      <c r="G14" s="130"/>
      <c r="H14" s="130"/>
      <c r="I14" s="130"/>
    </row>
    <row r="15" spans="1:10" x14ac:dyDescent="0.35">
      <c r="E15" s="33"/>
      <c r="F15" s="33"/>
      <c r="G15" s="33"/>
      <c r="H15" s="33"/>
      <c r="I15" s="33"/>
    </row>
    <row r="16" spans="1:10" x14ac:dyDescent="0.35">
      <c r="E16" s="33"/>
      <c r="F16" s="33"/>
      <c r="G16" s="33"/>
      <c r="H16" s="33"/>
      <c r="I16" s="33"/>
    </row>
    <row r="17" spans="1:9" x14ac:dyDescent="0.35">
      <c r="E17" s="33"/>
      <c r="F17" s="33"/>
      <c r="G17" s="33"/>
      <c r="H17" s="33"/>
      <c r="I17" s="33"/>
    </row>
    <row r="18" spans="1:9" x14ac:dyDescent="0.35">
      <c r="E18" s="33"/>
      <c r="F18" s="33"/>
      <c r="G18" s="33"/>
      <c r="H18" s="33"/>
      <c r="I18" s="33"/>
    </row>
    <row r="19" spans="1:9" x14ac:dyDescent="0.35">
      <c r="E19" s="33"/>
      <c r="F19" s="33"/>
      <c r="G19" s="33"/>
      <c r="H19" s="33"/>
      <c r="I19" s="33"/>
    </row>
    <row r="21" spans="1:9" x14ac:dyDescent="0.35">
      <c r="A21" s="13" t="s">
        <v>32</v>
      </c>
    </row>
    <row r="23" spans="1:9" x14ac:dyDescent="0.35">
      <c r="A23" s="18" t="s">
        <v>33</v>
      </c>
    </row>
  </sheetData>
  <pageMargins left="0.85" right="0.5" top="0.75" bottom="0.17" header="0.17" footer="0.17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I43"/>
  <sheetViews>
    <sheetView tabSelected="1" topLeftCell="A15" zoomScaleNormal="100" zoomScaleSheetLayoutView="95" workbookViewId="0">
      <selection activeCell="K30" sqref="K30"/>
    </sheetView>
  </sheetViews>
  <sheetFormatPr defaultColWidth="8.88671875" defaultRowHeight="14.4" x14ac:dyDescent="0.35"/>
  <cols>
    <col min="1" max="1" width="2.88671875" style="168" customWidth="1"/>
    <col min="2" max="2" width="30.44140625" style="168" customWidth="1"/>
    <col min="3" max="3" width="16.77734375" style="168" customWidth="1"/>
    <col min="4" max="4" width="14.6640625" style="168" customWidth="1"/>
    <col min="5" max="5" width="9" style="168" customWidth="1"/>
    <col min="6" max="6" width="0.6640625" style="168" customWidth="1"/>
    <col min="7" max="7" width="13.109375" style="168" customWidth="1"/>
    <col min="8" max="8" width="12.33203125" style="168" bestFit="1" customWidth="1"/>
    <col min="9" max="9" width="14.109375" style="168" bestFit="1" customWidth="1"/>
    <col min="10" max="16384" width="8.88671875" style="168"/>
  </cols>
  <sheetData>
    <row r="1" spans="1:8" x14ac:dyDescent="0.35">
      <c r="A1" s="170" t="s">
        <v>149</v>
      </c>
      <c r="E1" s="170"/>
      <c r="F1" s="170"/>
      <c r="G1" s="206" t="s">
        <v>64</v>
      </c>
      <c r="H1" s="170"/>
    </row>
    <row r="2" spans="1:8" s="165" customFormat="1" x14ac:dyDescent="0.35">
      <c r="A2" s="170" t="s">
        <v>52</v>
      </c>
      <c r="E2" s="170"/>
      <c r="F2" s="170"/>
      <c r="G2" s="180"/>
      <c r="H2" s="170"/>
    </row>
    <row r="3" spans="1:8" x14ac:dyDescent="0.35">
      <c r="A3" s="165" t="str">
        <f>+PL!A3</f>
        <v>FOR THE YEAR PERIOD 31ST MARCH</v>
      </c>
      <c r="B3" s="170"/>
      <c r="C3" s="170"/>
      <c r="D3" s="170"/>
      <c r="E3" s="170"/>
      <c r="F3" s="170"/>
      <c r="G3" s="175">
        <v>2025</v>
      </c>
      <c r="H3" s="170"/>
    </row>
    <row r="4" spans="1:8" x14ac:dyDescent="0.35">
      <c r="G4" s="183" t="s">
        <v>11</v>
      </c>
    </row>
    <row r="5" spans="1:8" x14ac:dyDescent="0.35">
      <c r="F5" s="174"/>
    </row>
    <row r="6" spans="1:8" x14ac:dyDescent="0.35">
      <c r="A6" s="165" t="s">
        <v>53</v>
      </c>
      <c r="F6" s="174"/>
      <c r="G6" s="177"/>
    </row>
    <row r="7" spans="1:8" x14ac:dyDescent="0.35">
      <c r="A7" s="169" t="s">
        <v>54</v>
      </c>
      <c r="F7" s="190"/>
      <c r="G7" s="194" t="e">
        <f>+PL!D12</f>
        <v>#REF!</v>
      </c>
    </row>
    <row r="8" spans="1:8" x14ac:dyDescent="0.35">
      <c r="A8" s="168" t="s">
        <v>25</v>
      </c>
      <c r="F8" s="176"/>
      <c r="G8" s="195"/>
    </row>
    <row r="9" spans="1:8" x14ac:dyDescent="0.35">
      <c r="B9" s="172" t="s">
        <v>129</v>
      </c>
      <c r="C9" s="172"/>
      <c r="D9" s="172"/>
      <c r="F9" s="176"/>
      <c r="G9" s="195" t="e">
        <f>'P09'!D22</f>
        <v>#REF!</v>
      </c>
    </row>
    <row r="10" spans="1:8" x14ac:dyDescent="0.35">
      <c r="A10" s="165" t="s">
        <v>55</v>
      </c>
      <c r="F10" s="176"/>
      <c r="G10" s="196" t="e">
        <f>SUM(G7:G9)</f>
        <v>#REF!</v>
      </c>
    </row>
    <row r="11" spans="1:8" x14ac:dyDescent="0.35">
      <c r="F11" s="176"/>
      <c r="G11" s="195"/>
    </row>
    <row r="12" spans="1:8" x14ac:dyDescent="0.35">
      <c r="B12" s="172" t="s">
        <v>172</v>
      </c>
      <c r="C12" s="172"/>
      <c r="D12" s="172"/>
      <c r="F12" s="176"/>
      <c r="G12" s="195">
        <f>-BS!E12</f>
        <v>-112919.5</v>
      </c>
    </row>
    <row r="13" spans="1:8" x14ac:dyDescent="0.35">
      <c r="B13" s="172" t="s">
        <v>182</v>
      </c>
      <c r="C13" s="172"/>
      <c r="D13" s="172"/>
      <c r="F13" s="176"/>
      <c r="G13" s="195" t="e">
        <f>BS!E26</f>
        <v>#REF!</v>
      </c>
    </row>
    <row r="14" spans="1:8" x14ac:dyDescent="0.35">
      <c r="B14" s="172" t="s">
        <v>102</v>
      </c>
      <c r="C14" s="172"/>
      <c r="D14" s="172"/>
      <c r="F14" s="176"/>
      <c r="G14" s="195">
        <f>BS!E27</f>
        <v>1000000</v>
      </c>
    </row>
    <row r="15" spans="1:8" x14ac:dyDescent="0.35">
      <c r="A15" s="165" t="s">
        <v>56</v>
      </c>
      <c r="F15" s="176"/>
      <c r="G15" s="196" t="e">
        <f>SUM(G10:G14)</f>
        <v>#REF!</v>
      </c>
    </row>
    <row r="16" spans="1:8" x14ac:dyDescent="0.35">
      <c r="F16" s="176"/>
      <c r="G16" s="195"/>
    </row>
    <row r="17" spans="1:7" x14ac:dyDescent="0.35">
      <c r="B17" s="168" t="s">
        <v>24</v>
      </c>
      <c r="F17" s="176"/>
      <c r="G17" s="195">
        <f>TB!B21</f>
        <v>1000</v>
      </c>
    </row>
    <row r="18" spans="1:7" x14ac:dyDescent="0.35">
      <c r="F18" s="176"/>
      <c r="G18" s="197">
        <f>SUM(G17:G17)</f>
        <v>1000</v>
      </c>
    </row>
    <row r="19" spans="1:7" x14ac:dyDescent="0.35">
      <c r="A19" s="165" t="s">
        <v>57</v>
      </c>
      <c r="E19" s="165"/>
      <c r="F19" s="176"/>
      <c r="G19" s="197" t="e">
        <f>SUM(G18+G15)</f>
        <v>#REF!</v>
      </c>
    </row>
    <row r="20" spans="1:7" x14ac:dyDescent="0.35">
      <c r="F20" s="176"/>
      <c r="G20" s="195"/>
    </row>
    <row r="21" spans="1:7" x14ac:dyDescent="0.35">
      <c r="A21" s="165" t="s">
        <v>58</v>
      </c>
      <c r="F21" s="176"/>
      <c r="G21" s="195"/>
    </row>
    <row r="22" spans="1:7" x14ac:dyDescent="0.35">
      <c r="B22" s="169" t="s">
        <v>143</v>
      </c>
      <c r="F22" s="176"/>
      <c r="G22" s="195" t="e">
        <f>-'P10'!G12</f>
        <v>#REF!</v>
      </c>
    </row>
    <row r="23" spans="1:7" x14ac:dyDescent="0.35">
      <c r="A23" s="165" t="s">
        <v>59</v>
      </c>
      <c r="E23" s="165"/>
      <c r="F23" s="176"/>
      <c r="G23" s="197" t="e">
        <f>SUM(G22)</f>
        <v>#REF!</v>
      </c>
    </row>
    <row r="24" spans="1:7" x14ac:dyDescent="0.35">
      <c r="F24" s="176"/>
      <c r="G24" s="195"/>
    </row>
    <row r="25" spans="1:7" x14ac:dyDescent="0.35">
      <c r="A25" s="165" t="s">
        <v>60</v>
      </c>
      <c r="F25" s="176"/>
      <c r="G25" s="195"/>
    </row>
    <row r="26" spans="1:7" x14ac:dyDescent="0.35">
      <c r="B26" s="168" t="s">
        <v>70</v>
      </c>
      <c r="F26" s="176"/>
      <c r="G26" s="195">
        <f>+BS!E19</f>
        <v>6000</v>
      </c>
    </row>
    <row r="27" spans="1:7" x14ac:dyDescent="0.35">
      <c r="A27" s="165" t="s">
        <v>61</v>
      </c>
      <c r="F27" s="176"/>
      <c r="G27" s="197">
        <f>SUM(G26)</f>
        <v>6000</v>
      </c>
    </row>
    <row r="28" spans="1:7" x14ac:dyDescent="0.35">
      <c r="A28" s="165" t="s">
        <v>65</v>
      </c>
      <c r="F28" s="176"/>
      <c r="G28" s="195" t="e">
        <f>+G19+G23+G27</f>
        <v>#REF!</v>
      </c>
    </row>
    <row r="29" spans="1:7" x14ac:dyDescent="0.35">
      <c r="B29" s="168" t="s">
        <v>62</v>
      </c>
      <c r="F29" s="176"/>
      <c r="G29" s="239">
        <v>0</v>
      </c>
    </row>
    <row r="30" spans="1:7" ht="15" thickBot="1" x14ac:dyDescent="0.4">
      <c r="B30" s="168" t="s">
        <v>63</v>
      </c>
      <c r="F30" s="176"/>
      <c r="G30" s="198" t="e">
        <f>SUM(G28:G29)</f>
        <v>#REF!</v>
      </c>
    </row>
    <row r="31" spans="1:7" ht="15" thickTop="1" x14ac:dyDescent="0.35">
      <c r="F31" s="176"/>
      <c r="G31" s="195"/>
    </row>
    <row r="32" spans="1:7" s="169" customFormat="1" x14ac:dyDescent="0.35">
      <c r="A32" s="166" t="s">
        <v>145</v>
      </c>
      <c r="C32" s="163"/>
      <c r="F32" s="186"/>
    </row>
    <row r="33" spans="1:9" s="169" customFormat="1" x14ac:dyDescent="0.35">
      <c r="B33" s="179" t="s">
        <v>144</v>
      </c>
      <c r="G33" s="243">
        <v>0</v>
      </c>
    </row>
    <row r="34" spans="1:9" s="169" customFormat="1" ht="15" thickBot="1" x14ac:dyDescent="0.4">
      <c r="G34" s="207">
        <f>SUM(F33:F33)</f>
        <v>0</v>
      </c>
    </row>
    <row r="35" spans="1:9" s="169" customFormat="1" ht="15" thickTop="1" x14ac:dyDescent="0.35"/>
    <row r="36" spans="1:9" s="169" customFormat="1" x14ac:dyDescent="0.35">
      <c r="A36" s="166" t="s">
        <v>146</v>
      </c>
      <c r="G36" s="186"/>
    </row>
    <row r="37" spans="1:9" s="169" customFormat="1" x14ac:dyDescent="0.35">
      <c r="B37" s="179" t="s">
        <v>144</v>
      </c>
      <c r="D37" s="178"/>
      <c r="E37" s="178"/>
      <c r="G37" s="185">
        <f>'P11'!J7</f>
        <v>12560</v>
      </c>
    </row>
    <row r="38" spans="1:9" s="169" customFormat="1" ht="15" thickBot="1" x14ac:dyDescent="0.4">
      <c r="A38" s="166"/>
      <c r="G38" s="207">
        <f>SUM(G37:G37)</f>
        <v>12560</v>
      </c>
      <c r="H38" s="181" t="e">
        <f>G30-G38</f>
        <v>#REF!</v>
      </c>
      <c r="I38" s="181"/>
    </row>
    <row r="39" spans="1:9" ht="15" thickTop="1" x14ac:dyDescent="0.35"/>
    <row r="41" spans="1:9" x14ac:dyDescent="0.35">
      <c r="A41" s="168" t="s">
        <v>32</v>
      </c>
    </row>
    <row r="43" spans="1:9" x14ac:dyDescent="0.35">
      <c r="A43" s="169" t="s">
        <v>33</v>
      </c>
    </row>
  </sheetData>
  <pageMargins left="0.85" right="0.5" top="0.75" bottom="0.17" header="0.17" footer="0.17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G24"/>
  <sheetViews>
    <sheetView zoomScaleNormal="100" zoomScaleSheetLayoutView="100" workbookViewId="0">
      <selection activeCell="D16" sqref="D16"/>
    </sheetView>
  </sheetViews>
  <sheetFormatPr defaultColWidth="8.5546875" defaultRowHeight="14.4" x14ac:dyDescent="0.35"/>
  <cols>
    <col min="1" max="1" width="58.21875" style="2" customWidth="1"/>
    <col min="2" max="2" width="7.5546875" style="2" customWidth="1"/>
    <col min="3" max="3" width="7.77734375" style="3" customWidth="1"/>
    <col min="4" max="4" width="14.109375" style="8" customWidth="1"/>
    <col min="5" max="6" width="8.5546875" style="2" customWidth="1"/>
    <col min="7" max="7" width="17.33203125" style="2" customWidth="1"/>
    <col min="8" max="16384" width="8.5546875" style="2"/>
  </cols>
  <sheetData>
    <row r="1" spans="1:7" x14ac:dyDescent="0.35">
      <c r="A1" s="1" t="s">
        <v>149</v>
      </c>
      <c r="B1" s="1"/>
      <c r="C1" s="1"/>
      <c r="D1" s="153" t="s">
        <v>28</v>
      </c>
    </row>
    <row r="2" spans="1:7" x14ac:dyDescent="0.35">
      <c r="A2" s="11" t="s">
        <v>30</v>
      </c>
      <c r="B2" s="1"/>
      <c r="C2" s="1"/>
      <c r="D2" s="1"/>
    </row>
    <row r="3" spans="1:7" x14ac:dyDescent="0.35">
      <c r="A3" s="11" t="s">
        <v>101</v>
      </c>
      <c r="B3" s="1"/>
      <c r="C3" s="1"/>
      <c r="D3" s="9">
        <v>2025</v>
      </c>
    </row>
    <row r="4" spans="1:7" x14ac:dyDescent="0.35">
      <c r="B4" s="3" t="s">
        <v>29</v>
      </c>
      <c r="D4" s="10" t="s">
        <v>22</v>
      </c>
    </row>
    <row r="5" spans="1:7" x14ac:dyDescent="0.35">
      <c r="C5" s="2"/>
      <c r="D5" s="2"/>
      <c r="G5" s="4"/>
    </row>
    <row r="6" spans="1:7" x14ac:dyDescent="0.35">
      <c r="A6" s="2" t="s">
        <v>68</v>
      </c>
      <c r="B6" s="3">
        <v>4</v>
      </c>
      <c r="C6" s="2"/>
      <c r="D6" s="118">
        <f>+'P09'!D8</f>
        <v>2328236</v>
      </c>
      <c r="G6" s="4"/>
    </row>
    <row r="7" spans="1:7" x14ac:dyDescent="0.35">
      <c r="B7" s="3"/>
      <c r="C7" s="2"/>
      <c r="D7" s="118"/>
    </row>
    <row r="8" spans="1:7" x14ac:dyDescent="0.35">
      <c r="A8" s="2" t="s">
        <v>12</v>
      </c>
      <c r="B8" s="3">
        <v>5</v>
      </c>
      <c r="C8" s="2"/>
      <c r="D8" s="121" t="e">
        <f>-'P09'!D26</f>
        <v>#REF!</v>
      </c>
      <c r="G8" s="5"/>
    </row>
    <row r="9" spans="1:7" x14ac:dyDescent="0.35">
      <c r="A9" s="1"/>
      <c r="B9" s="3"/>
      <c r="C9" s="2"/>
      <c r="D9" s="122"/>
    </row>
    <row r="10" spans="1:7" x14ac:dyDescent="0.35">
      <c r="A10" s="2" t="s">
        <v>34</v>
      </c>
      <c r="B10" s="3">
        <v>6</v>
      </c>
      <c r="C10" s="2"/>
      <c r="D10" s="123" t="e">
        <f>-'P09'!D30</f>
        <v>#REF!</v>
      </c>
    </row>
    <row r="11" spans="1:7" x14ac:dyDescent="0.35">
      <c r="D11" s="118"/>
    </row>
    <row r="12" spans="1:7" x14ac:dyDescent="0.35">
      <c r="A12" s="12" t="s">
        <v>31</v>
      </c>
      <c r="B12" s="1"/>
      <c r="D12" s="119" t="e">
        <f>SUM(D6:D10)</f>
        <v>#REF!</v>
      </c>
    </row>
    <row r="13" spans="1:7" x14ac:dyDescent="0.35">
      <c r="D13" s="119"/>
    </row>
    <row r="14" spans="1:7" x14ac:dyDescent="0.35">
      <c r="A14" s="13" t="s">
        <v>35</v>
      </c>
      <c r="B14" s="3">
        <v>7</v>
      </c>
      <c r="D14" s="123">
        <f>-'P09'!D34</f>
        <v>-1000</v>
      </c>
    </row>
    <row r="15" spans="1:7" x14ac:dyDescent="0.35">
      <c r="D15" s="119"/>
    </row>
    <row r="16" spans="1:7" ht="15" thickBot="1" x14ac:dyDescent="0.4">
      <c r="A16" s="12" t="s">
        <v>183</v>
      </c>
      <c r="D16" s="124" t="e">
        <f>SUM(D12:D14)</f>
        <v>#REF!</v>
      </c>
    </row>
    <row r="17" spans="1:4" ht="15" thickTop="1" x14ac:dyDescent="0.35">
      <c r="D17" s="118"/>
    </row>
    <row r="18" spans="1:4" x14ac:dyDescent="0.35">
      <c r="A18" s="1"/>
      <c r="B18" s="1"/>
      <c r="D18" s="125"/>
    </row>
    <row r="19" spans="1:4" x14ac:dyDescent="0.35">
      <c r="D19" s="7"/>
    </row>
    <row r="22" spans="1:4" x14ac:dyDescent="0.35">
      <c r="A22" s="2" t="s">
        <v>32</v>
      </c>
    </row>
    <row r="24" spans="1:4" x14ac:dyDescent="0.35">
      <c r="A24" s="2" t="s">
        <v>33</v>
      </c>
    </row>
  </sheetData>
  <pageMargins left="0.85" right="0.5" top="0.75" bottom="0.17" header="0.17" footer="0.17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ALX51"/>
  <sheetViews>
    <sheetView zoomScaleNormal="100" zoomScaleSheetLayoutView="100" workbookViewId="0">
      <selection activeCell="K25" sqref="K25"/>
    </sheetView>
  </sheetViews>
  <sheetFormatPr defaultColWidth="9.109375" defaultRowHeight="14.4" x14ac:dyDescent="0.35"/>
  <cols>
    <col min="1" max="1" width="47.6640625" style="2" customWidth="1"/>
    <col min="2" max="2" width="10.33203125" style="2" customWidth="1"/>
    <col min="3" max="3" width="7.5546875" style="15" customWidth="1"/>
    <col min="4" max="4" width="7.77734375" style="15" customWidth="1"/>
    <col min="5" max="5" width="14.33203125" style="14" customWidth="1"/>
    <col min="6" max="6" width="11.5546875" style="2" bestFit="1" customWidth="1"/>
    <col min="7" max="7" width="9.6640625" style="2" bestFit="1" customWidth="1"/>
    <col min="8" max="8" width="9.109375" style="2"/>
    <col min="9" max="9" width="10.5546875" style="2" bestFit="1" customWidth="1"/>
    <col min="10" max="10" width="14.44140625" style="2" bestFit="1" customWidth="1"/>
    <col min="11" max="1003" width="9.109375" style="2"/>
    <col min="1004" max="16384" width="9.109375" style="13"/>
  </cols>
  <sheetData>
    <row r="1" spans="1:1003" x14ac:dyDescent="0.35">
      <c r="A1" s="1" t="s">
        <v>149</v>
      </c>
      <c r="B1" s="1"/>
      <c r="C1" s="1"/>
      <c r="D1" s="1"/>
      <c r="E1" s="153" t="s">
        <v>36</v>
      </c>
    </row>
    <row r="2" spans="1:1003" x14ac:dyDescent="0.35">
      <c r="A2" s="1" t="s">
        <v>0</v>
      </c>
      <c r="B2" s="1"/>
      <c r="C2" s="1"/>
      <c r="D2" s="1"/>
      <c r="E2" s="1"/>
    </row>
    <row r="3" spans="1:1003" x14ac:dyDescent="0.35">
      <c r="A3" s="1" t="s">
        <v>128</v>
      </c>
      <c r="B3" s="1"/>
      <c r="C3" s="1"/>
      <c r="D3" s="1"/>
      <c r="E3" s="9">
        <v>2025</v>
      </c>
    </row>
    <row r="4" spans="1:1003" x14ac:dyDescent="0.35">
      <c r="A4" s="1"/>
      <c r="B4" s="1"/>
      <c r="C4" s="3" t="s">
        <v>29</v>
      </c>
      <c r="D4" s="3"/>
      <c r="E4" s="16" t="s">
        <v>11</v>
      </c>
    </row>
    <row r="5" spans="1:1003" x14ac:dyDescent="0.35">
      <c r="A5" s="1"/>
      <c r="B5" s="1"/>
      <c r="D5" s="3"/>
    </row>
    <row r="6" spans="1:1003" x14ac:dyDescent="0.35">
      <c r="A6" s="1" t="s">
        <v>1</v>
      </c>
      <c r="B6" s="145"/>
    </row>
    <row r="7" spans="1:1003" x14ac:dyDescent="0.35">
      <c r="A7" s="1" t="s">
        <v>23</v>
      </c>
      <c r="B7" s="1"/>
      <c r="E7" s="73"/>
      <c r="F7" s="144"/>
    </row>
    <row r="8" spans="1:1003" x14ac:dyDescent="0.35">
      <c r="A8" s="18" t="s">
        <v>143</v>
      </c>
      <c r="C8" s="3">
        <v>8</v>
      </c>
      <c r="D8" s="3"/>
      <c r="E8" s="121" t="e">
        <f>+'P10'!J31</f>
        <v>#REF!</v>
      </c>
      <c r="F8" s="144"/>
    </row>
    <row r="9" spans="1:1003" x14ac:dyDescent="0.35">
      <c r="E9" s="126" t="e">
        <f>SUM(E8)</f>
        <v>#REF!</v>
      </c>
      <c r="F9" s="144"/>
    </row>
    <row r="10" spans="1:1003" x14ac:dyDescent="0.35">
      <c r="E10" s="121"/>
      <c r="F10" s="144"/>
    </row>
    <row r="11" spans="1:1003" x14ac:dyDescent="0.35">
      <c r="A11" s="1" t="s">
        <v>2</v>
      </c>
      <c r="B11" s="1"/>
      <c r="E11" s="73"/>
      <c r="F11" s="101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13"/>
      <c r="GF11" s="13"/>
      <c r="GG11" s="13"/>
      <c r="GH11" s="13"/>
      <c r="GI11" s="13"/>
      <c r="GJ11" s="13"/>
      <c r="GK11" s="13"/>
      <c r="GL11" s="13"/>
      <c r="GM11" s="13"/>
      <c r="GN11" s="13"/>
      <c r="GO11" s="13"/>
      <c r="GP11" s="13"/>
      <c r="GQ11" s="13"/>
      <c r="GR11" s="13"/>
      <c r="GS11" s="13"/>
      <c r="GT11" s="13"/>
      <c r="GU11" s="13"/>
      <c r="GV11" s="13"/>
      <c r="GW11" s="13"/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13"/>
      <c r="HI11" s="13"/>
      <c r="HJ11" s="13"/>
      <c r="HK11" s="13"/>
      <c r="HL11" s="13"/>
      <c r="HM11" s="13"/>
      <c r="HN11" s="13"/>
      <c r="HO11" s="13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13"/>
      <c r="IF11" s="13"/>
      <c r="IG11" s="13"/>
      <c r="IH11" s="13"/>
      <c r="II11" s="13"/>
      <c r="IJ11" s="13"/>
      <c r="IK11" s="13"/>
      <c r="IL11" s="13"/>
      <c r="IM11" s="13"/>
      <c r="IN11" s="13"/>
      <c r="IO11" s="13"/>
      <c r="IP11" s="13"/>
      <c r="IQ11" s="13"/>
      <c r="IR11" s="13"/>
      <c r="IS11" s="13"/>
      <c r="IT11" s="13"/>
      <c r="IU11" s="13"/>
      <c r="IV11" s="13"/>
      <c r="IW11" s="13"/>
      <c r="IX11" s="13"/>
      <c r="IY11" s="13"/>
      <c r="IZ11" s="13"/>
      <c r="JA11" s="13"/>
      <c r="JB11" s="13"/>
      <c r="JC11" s="13"/>
      <c r="JD11" s="13"/>
      <c r="JE11" s="13"/>
      <c r="JF11" s="13"/>
      <c r="JG11" s="13"/>
      <c r="JH11" s="13"/>
      <c r="JI11" s="13"/>
      <c r="JJ11" s="13"/>
      <c r="JK11" s="13"/>
      <c r="JL11" s="13"/>
      <c r="JM11" s="13"/>
      <c r="JN11" s="13"/>
      <c r="JO11" s="13"/>
      <c r="JP11" s="13"/>
      <c r="JQ11" s="13"/>
      <c r="JR11" s="13"/>
      <c r="JS11" s="13"/>
      <c r="JT11" s="13"/>
      <c r="JU11" s="13"/>
      <c r="JV11" s="13"/>
      <c r="JW11" s="13"/>
      <c r="JX11" s="13"/>
      <c r="JY11" s="13"/>
      <c r="JZ11" s="13"/>
      <c r="KA11" s="13"/>
      <c r="KB11" s="13"/>
      <c r="KC11" s="13"/>
      <c r="KD11" s="13"/>
      <c r="KE11" s="13"/>
      <c r="KF11" s="13"/>
      <c r="KG11" s="13"/>
      <c r="KH11" s="13"/>
      <c r="KI11" s="13"/>
      <c r="KJ11" s="13"/>
      <c r="KK11" s="13"/>
      <c r="KL11" s="13"/>
      <c r="KM11" s="13"/>
      <c r="KN11" s="13"/>
      <c r="KO11" s="13"/>
      <c r="KP11" s="13"/>
      <c r="KQ11" s="13"/>
      <c r="KR11" s="13"/>
      <c r="KS11" s="13"/>
      <c r="KT11" s="13"/>
      <c r="KU11" s="13"/>
      <c r="KV11" s="13"/>
      <c r="KW11" s="13"/>
      <c r="KX11" s="13"/>
      <c r="KY11" s="13"/>
      <c r="KZ11" s="13"/>
      <c r="LA11" s="13"/>
      <c r="LB11" s="13"/>
      <c r="LC11" s="13"/>
      <c r="LD11" s="13"/>
      <c r="LE11" s="13"/>
      <c r="LF11" s="13"/>
      <c r="LG11" s="13"/>
      <c r="LH11" s="13"/>
      <c r="LI11" s="13"/>
      <c r="LJ11" s="13"/>
      <c r="LK11" s="13"/>
      <c r="LL11" s="13"/>
      <c r="LM11" s="13"/>
      <c r="LN11" s="13"/>
      <c r="LO11" s="13"/>
      <c r="LP11" s="13"/>
      <c r="LQ11" s="13"/>
      <c r="LR11" s="13"/>
      <c r="LS11" s="13"/>
      <c r="LT11" s="13"/>
      <c r="LU11" s="13"/>
      <c r="LV11" s="13"/>
      <c r="LW11" s="13"/>
      <c r="LX11" s="13"/>
      <c r="LY11" s="13"/>
      <c r="LZ11" s="13"/>
      <c r="MA11" s="13"/>
      <c r="MB11" s="13"/>
      <c r="MC11" s="13"/>
      <c r="MD11" s="13"/>
      <c r="ME11" s="13"/>
      <c r="MF11" s="13"/>
      <c r="MG11" s="13"/>
      <c r="MH11" s="13"/>
      <c r="MI11" s="13"/>
      <c r="MJ11" s="13"/>
      <c r="MK11" s="13"/>
      <c r="ML11" s="13"/>
      <c r="MM11" s="13"/>
      <c r="MN11" s="13"/>
      <c r="MO11" s="13"/>
      <c r="MP11" s="13"/>
      <c r="MQ11" s="13"/>
      <c r="MR11" s="13"/>
      <c r="MS11" s="13"/>
      <c r="MT11" s="13"/>
      <c r="MU11" s="13"/>
      <c r="MV11" s="13"/>
      <c r="MW11" s="13"/>
      <c r="MX11" s="13"/>
      <c r="MY11" s="13"/>
      <c r="MZ11" s="13"/>
      <c r="NA11" s="13"/>
      <c r="NB11" s="13"/>
      <c r="NC11" s="13"/>
      <c r="ND11" s="13"/>
      <c r="NE11" s="13"/>
      <c r="NF11" s="13"/>
      <c r="NG11" s="13"/>
      <c r="NH11" s="13"/>
      <c r="NI11" s="13"/>
      <c r="NJ11" s="13"/>
      <c r="NK11" s="13"/>
      <c r="NL11" s="13"/>
      <c r="NM11" s="13"/>
      <c r="NN11" s="13"/>
      <c r="NO11" s="13"/>
      <c r="NP11" s="13"/>
      <c r="NQ11" s="13"/>
      <c r="NR11" s="13"/>
      <c r="NS11" s="13"/>
      <c r="NT11" s="13"/>
      <c r="NU11" s="13"/>
      <c r="NV11" s="13"/>
      <c r="NW11" s="13"/>
      <c r="NX11" s="13"/>
      <c r="NY11" s="13"/>
      <c r="NZ11" s="13"/>
      <c r="OA11" s="13"/>
      <c r="OB11" s="13"/>
      <c r="OC11" s="13"/>
      <c r="OD11" s="13"/>
      <c r="OE11" s="13"/>
      <c r="OF11" s="13"/>
      <c r="OG11" s="13"/>
      <c r="OH11" s="13"/>
      <c r="OI11" s="13"/>
      <c r="OJ11" s="13"/>
      <c r="OK11" s="13"/>
      <c r="OL11" s="13"/>
      <c r="OM11" s="13"/>
      <c r="ON11" s="13"/>
      <c r="OO11" s="13"/>
      <c r="OP11" s="13"/>
      <c r="OQ11" s="13"/>
      <c r="OR11" s="13"/>
      <c r="OS11" s="13"/>
      <c r="OT11" s="13"/>
      <c r="OU11" s="13"/>
      <c r="OV11" s="13"/>
      <c r="OW11" s="13"/>
      <c r="OX11" s="13"/>
      <c r="OY11" s="13"/>
      <c r="OZ11" s="13"/>
      <c r="PA11" s="13"/>
      <c r="PB11" s="13"/>
      <c r="PC11" s="13"/>
      <c r="PD11" s="13"/>
      <c r="PE11" s="13"/>
      <c r="PF11" s="13"/>
      <c r="PG11" s="13"/>
      <c r="PH11" s="13"/>
      <c r="PI11" s="13"/>
      <c r="PJ11" s="13"/>
      <c r="PK11" s="13"/>
      <c r="PL11" s="13"/>
      <c r="PM11" s="13"/>
      <c r="PN11" s="13"/>
      <c r="PO11" s="13"/>
      <c r="PP11" s="13"/>
      <c r="PQ11" s="13"/>
      <c r="PR11" s="13"/>
      <c r="PS11" s="13"/>
      <c r="PT11" s="13"/>
      <c r="PU11" s="13"/>
      <c r="PV11" s="13"/>
      <c r="PW11" s="13"/>
      <c r="PX11" s="13"/>
      <c r="PY11" s="13"/>
      <c r="PZ11" s="13"/>
      <c r="QA11" s="13"/>
      <c r="QB11" s="13"/>
      <c r="QC11" s="13"/>
      <c r="QD11" s="13"/>
      <c r="QE11" s="13"/>
      <c r="QF11" s="13"/>
      <c r="QG11" s="13"/>
      <c r="QH11" s="13"/>
      <c r="QI11" s="13"/>
      <c r="QJ11" s="13"/>
      <c r="QK11" s="13"/>
      <c r="QL11" s="13"/>
      <c r="QM11" s="13"/>
      <c r="QN11" s="13"/>
      <c r="QO11" s="13"/>
      <c r="QP11" s="13"/>
      <c r="QQ11" s="13"/>
      <c r="QR11" s="13"/>
      <c r="QS11" s="13"/>
      <c r="QT11" s="13"/>
      <c r="QU11" s="13"/>
      <c r="QV11" s="13"/>
      <c r="QW11" s="13"/>
      <c r="QX11" s="13"/>
      <c r="QY11" s="13"/>
      <c r="QZ11" s="13"/>
      <c r="RA11" s="13"/>
      <c r="RB11" s="13"/>
      <c r="RC11" s="13"/>
      <c r="RD11" s="13"/>
      <c r="RE11" s="13"/>
      <c r="RF11" s="13"/>
      <c r="RG11" s="13"/>
      <c r="RH11" s="13"/>
      <c r="RI11" s="13"/>
      <c r="RJ11" s="13"/>
      <c r="RK11" s="13"/>
      <c r="RL11" s="13"/>
      <c r="RM11" s="13"/>
      <c r="RN11" s="13"/>
      <c r="RO11" s="13"/>
      <c r="RP11" s="13"/>
      <c r="RQ11" s="13"/>
      <c r="RR11" s="13"/>
      <c r="RS11" s="13"/>
      <c r="RT11" s="13"/>
      <c r="RU11" s="13"/>
      <c r="RV11" s="13"/>
      <c r="RW11" s="13"/>
      <c r="RX11" s="13"/>
      <c r="RY11" s="13"/>
      <c r="RZ11" s="13"/>
      <c r="SA11" s="13"/>
      <c r="SB11" s="13"/>
      <c r="SC11" s="13"/>
      <c r="SD11" s="13"/>
      <c r="SE11" s="13"/>
      <c r="SF11" s="13"/>
      <c r="SG11" s="13"/>
      <c r="SH11" s="13"/>
      <c r="SI11" s="13"/>
      <c r="SJ11" s="13"/>
      <c r="SK11" s="13"/>
      <c r="SL11" s="13"/>
      <c r="SM11" s="13"/>
      <c r="SN11" s="13"/>
      <c r="SO11" s="13"/>
      <c r="SP11" s="13"/>
      <c r="SQ11" s="13"/>
      <c r="SR11" s="13"/>
      <c r="SS11" s="13"/>
      <c r="ST11" s="13"/>
      <c r="SU11" s="13"/>
      <c r="SV11" s="13"/>
      <c r="SW11" s="13"/>
      <c r="SX11" s="13"/>
      <c r="SY11" s="13"/>
      <c r="SZ11" s="13"/>
      <c r="TA11" s="13"/>
      <c r="TB11" s="13"/>
      <c r="TC11" s="13"/>
      <c r="TD11" s="13"/>
      <c r="TE11" s="13"/>
      <c r="TF11" s="13"/>
      <c r="TG11" s="13"/>
      <c r="TH11" s="13"/>
      <c r="TI11" s="13"/>
      <c r="TJ11" s="13"/>
      <c r="TK11" s="13"/>
      <c r="TL11" s="13"/>
      <c r="TM11" s="13"/>
      <c r="TN11" s="13"/>
      <c r="TO11" s="13"/>
      <c r="TP11" s="13"/>
      <c r="TQ11" s="13"/>
      <c r="TR11" s="13"/>
      <c r="TS11" s="13"/>
      <c r="TT11" s="13"/>
      <c r="TU11" s="13"/>
      <c r="TV11" s="13"/>
      <c r="TW11" s="13"/>
      <c r="TX11" s="13"/>
      <c r="TY11" s="13"/>
      <c r="TZ11" s="13"/>
      <c r="UA11" s="13"/>
      <c r="UB11" s="13"/>
      <c r="UC11" s="13"/>
      <c r="UD11" s="13"/>
      <c r="UE11" s="13"/>
      <c r="UF11" s="13"/>
      <c r="UG11" s="13"/>
      <c r="UH11" s="13"/>
      <c r="UI11" s="13"/>
      <c r="UJ11" s="13"/>
      <c r="UK11" s="13"/>
      <c r="UL11" s="13"/>
      <c r="UM11" s="13"/>
      <c r="UN11" s="13"/>
      <c r="UO11" s="13"/>
      <c r="UP11" s="13"/>
      <c r="UQ11" s="13"/>
      <c r="UR11" s="13"/>
      <c r="US11" s="13"/>
      <c r="UT11" s="13"/>
      <c r="UU11" s="13"/>
      <c r="UV11" s="13"/>
      <c r="UW11" s="13"/>
      <c r="UX11" s="13"/>
      <c r="UY11" s="13"/>
      <c r="UZ11" s="13"/>
      <c r="VA11" s="13"/>
      <c r="VB11" s="13"/>
      <c r="VC11" s="13"/>
      <c r="VD11" s="13"/>
      <c r="VE11" s="13"/>
      <c r="VF11" s="13"/>
      <c r="VG11" s="13"/>
      <c r="VH11" s="13"/>
      <c r="VI11" s="13"/>
      <c r="VJ11" s="13"/>
      <c r="VK11" s="13"/>
      <c r="VL11" s="13"/>
      <c r="VM11" s="13"/>
      <c r="VN11" s="13"/>
      <c r="VO11" s="13"/>
      <c r="VP11" s="13"/>
      <c r="VQ11" s="13"/>
      <c r="VR11" s="13"/>
      <c r="VS11" s="13"/>
      <c r="VT11" s="13"/>
      <c r="VU11" s="13"/>
      <c r="VV11" s="13"/>
      <c r="VW11" s="13"/>
      <c r="VX11" s="13"/>
      <c r="VY11" s="13"/>
      <c r="VZ11" s="13"/>
      <c r="WA11" s="13"/>
      <c r="WB11" s="13"/>
      <c r="WC11" s="13"/>
      <c r="WD11" s="13"/>
      <c r="WE11" s="13"/>
      <c r="WF11" s="13"/>
      <c r="WG11" s="13"/>
      <c r="WH11" s="13"/>
      <c r="WI11" s="13"/>
      <c r="WJ11" s="13"/>
      <c r="WK11" s="13"/>
      <c r="WL11" s="13"/>
      <c r="WM11" s="13"/>
      <c r="WN11" s="13"/>
      <c r="WO11" s="13"/>
      <c r="WP11" s="13"/>
      <c r="WQ11" s="13"/>
      <c r="WR11" s="13"/>
      <c r="WS11" s="13"/>
      <c r="WT11" s="13"/>
      <c r="WU11" s="13"/>
      <c r="WV11" s="13"/>
      <c r="WW11" s="13"/>
      <c r="WX11" s="13"/>
      <c r="WY11" s="13"/>
      <c r="WZ11" s="13"/>
      <c r="XA11" s="13"/>
      <c r="XB11" s="13"/>
      <c r="XC11" s="13"/>
      <c r="XD11" s="13"/>
      <c r="XE11" s="13"/>
      <c r="XF11" s="13"/>
      <c r="XG11" s="13"/>
      <c r="XH11" s="13"/>
      <c r="XI11" s="13"/>
      <c r="XJ11" s="13"/>
      <c r="XK11" s="13"/>
      <c r="XL11" s="13"/>
      <c r="XM11" s="13"/>
      <c r="XN11" s="13"/>
      <c r="XO11" s="13"/>
      <c r="XP11" s="13"/>
      <c r="XQ11" s="13"/>
      <c r="XR11" s="13"/>
      <c r="XS11" s="13"/>
      <c r="XT11" s="13"/>
      <c r="XU11" s="13"/>
      <c r="XV11" s="13"/>
      <c r="XW11" s="13"/>
      <c r="XX11" s="13"/>
      <c r="XY11" s="13"/>
      <c r="XZ11" s="13"/>
      <c r="YA11" s="13"/>
      <c r="YB11" s="13"/>
      <c r="YC11" s="13"/>
      <c r="YD11" s="13"/>
      <c r="YE11" s="13"/>
      <c r="YF11" s="13"/>
      <c r="YG11" s="13"/>
      <c r="YH11" s="13"/>
      <c r="YI11" s="13"/>
      <c r="YJ11" s="13"/>
      <c r="YK11" s="13"/>
      <c r="YL11" s="13"/>
      <c r="YM11" s="13"/>
      <c r="YN11" s="13"/>
      <c r="YO11" s="13"/>
      <c r="YP11" s="13"/>
      <c r="YQ11" s="13"/>
      <c r="YR11" s="13"/>
      <c r="YS11" s="13"/>
      <c r="YT11" s="13"/>
      <c r="YU11" s="13"/>
      <c r="YV11" s="13"/>
      <c r="YW11" s="13"/>
      <c r="YX11" s="13"/>
      <c r="YY11" s="13"/>
      <c r="YZ11" s="13"/>
      <c r="ZA11" s="13"/>
      <c r="ZB11" s="13"/>
      <c r="ZC11" s="13"/>
      <c r="ZD11" s="13"/>
      <c r="ZE11" s="13"/>
      <c r="ZF11" s="13"/>
      <c r="ZG11" s="13"/>
      <c r="ZH11" s="13"/>
      <c r="ZI11" s="13"/>
      <c r="ZJ11" s="13"/>
      <c r="ZK11" s="13"/>
      <c r="ZL11" s="13"/>
      <c r="ZM11" s="13"/>
      <c r="ZN11" s="13"/>
      <c r="ZO11" s="13"/>
      <c r="ZP11" s="13"/>
      <c r="ZQ11" s="13"/>
      <c r="ZR11" s="13"/>
      <c r="ZS11" s="13"/>
      <c r="ZT11" s="13"/>
      <c r="ZU11" s="13"/>
      <c r="ZV11" s="13"/>
      <c r="ZW11" s="13"/>
      <c r="ZX11" s="13"/>
      <c r="ZY11" s="13"/>
      <c r="ZZ11" s="13"/>
      <c r="AAA11" s="13"/>
      <c r="AAB11" s="13"/>
      <c r="AAC11" s="13"/>
      <c r="AAD11" s="13"/>
      <c r="AAE11" s="13"/>
      <c r="AAF11" s="13"/>
      <c r="AAG11" s="13"/>
      <c r="AAH11" s="13"/>
      <c r="AAI11" s="13"/>
      <c r="AAJ11" s="13"/>
      <c r="AAK11" s="13"/>
      <c r="AAL11" s="13"/>
      <c r="AAM11" s="13"/>
      <c r="AAN11" s="13"/>
      <c r="AAO11" s="13"/>
      <c r="AAP11" s="13"/>
      <c r="AAQ11" s="13"/>
      <c r="AAR11" s="13"/>
      <c r="AAS11" s="13"/>
      <c r="AAT11" s="13"/>
      <c r="AAU11" s="13"/>
      <c r="AAV11" s="13"/>
      <c r="AAW11" s="13"/>
      <c r="AAX11" s="13"/>
      <c r="AAY11" s="13"/>
      <c r="AAZ11" s="13"/>
      <c r="ABA11" s="13"/>
      <c r="ABB11" s="13"/>
      <c r="ABC11" s="13"/>
      <c r="ABD11" s="13"/>
      <c r="ABE11" s="13"/>
      <c r="ABF11" s="13"/>
      <c r="ABG11" s="13"/>
      <c r="ABH11" s="13"/>
      <c r="ABI11" s="13"/>
      <c r="ABJ11" s="13"/>
      <c r="ABK11" s="13"/>
      <c r="ABL11" s="13"/>
      <c r="ABM11" s="13"/>
      <c r="ABN11" s="13"/>
      <c r="ABO11" s="13"/>
      <c r="ABP11" s="13"/>
      <c r="ABQ11" s="13"/>
      <c r="ABR11" s="13"/>
      <c r="ABS11" s="13"/>
      <c r="ABT11" s="13"/>
      <c r="ABU11" s="13"/>
      <c r="ABV11" s="13"/>
      <c r="ABW11" s="13"/>
      <c r="ABX11" s="13"/>
      <c r="ABY11" s="13"/>
      <c r="ABZ11" s="13"/>
      <c r="ACA11" s="13"/>
      <c r="ACB11" s="13"/>
      <c r="ACC11" s="13"/>
      <c r="ACD11" s="13"/>
      <c r="ACE11" s="13"/>
      <c r="ACF11" s="13"/>
      <c r="ACG11" s="13"/>
      <c r="ACH11" s="13"/>
      <c r="ACI11" s="13"/>
      <c r="ACJ11" s="13"/>
      <c r="ACK11" s="13"/>
      <c r="ACL11" s="13"/>
      <c r="ACM11" s="13"/>
      <c r="ACN11" s="13"/>
      <c r="ACO11" s="13"/>
      <c r="ACP11" s="13"/>
      <c r="ACQ11" s="13"/>
      <c r="ACR11" s="13"/>
      <c r="ACS11" s="13"/>
      <c r="ACT11" s="13"/>
      <c r="ACU11" s="13"/>
      <c r="ACV11" s="13"/>
      <c r="ACW11" s="13"/>
      <c r="ACX11" s="13"/>
      <c r="ACY11" s="13"/>
      <c r="ACZ11" s="13"/>
      <c r="ADA11" s="13"/>
      <c r="ADB11" s="13"/>
      <c r="ADC11" s="13"/>
      <c r="ADD11" s="13"/>
      <c r="ADE11" s="13"/>
      <c r="ADF11" s="13"/>
      <c r="ADG11" s="13"/>
      <c r="ADH11" s="13"/>
      <c r="ADI11" s="13"/>
      <c r="ADJ11" s="13"/>
      <c r="ADK11" s="13"/>
      <c r="ADL11" s="13"/>
      <c r="ADM11" s="13"/>
      <c r="ADN11" s="13"/>
      <c r="ADO11" s="13"/>
      <c r="ADP11" s="13"/>
      <c r="ADQ11" s="13"/>
      <c r="ADR11" s="13"/>
      <c r="ADS11" s="13"/>
      <c r="ADT11" s="13"/>
      <c r="ADU11" s="13"/>
      <c r="ADV11" s="13"/>
      <c r="ADW11" s="13"/>
      <c r="ADX11" s="13"/>
      <c r="ADY11" s="13"/>
      <c r="ADZ11" s="13"/>
      <c r="AEA11" s="13"/>
      <c r="AEB11" s="13"/>
      <c r="AEC11" s="13"/>
      <c r="AED11" s="13"/>
      <c r="AEE11" s="13"/>
      <c r="AEF11" s="13"/>
      <c r="AEG11" s="13"/>
      <c r="AEH11" s="13"/>
      <c r="AEI11" s="13"/>
      <c r="AEJ11" s="13"/>
      <c r="AEK11" s="13"/>
      <c r="AEL11" s="13"/>
      <c r="AEM11" s="13"/>
      <c r="AEN11" s="13"/>
      <c r="AEO11" s="13"/>
      <c r="AEP11" s="13"/>
      <c r="AEQ11" s="13"/>
      <c r="AER11" s="13"/>
      <c r="AES11" s="13"/>
      <c r="AET11" s="13"/>
      <c r="AEU11" s="13"/>
      <c r="AEV11" s="13"/>
      <c r="AEW11" s="13"/>
      <c r="AEX11" s="13"/>
      <c r="AEY11" s="13"/>
      <c r="AEZ11" s="13"/>
      <c r="AFA11" s="13"/>
      <c r="AFB11" s="13"/>
      <c r="AFC11" s="13"/>
      <c r="AFD11" s="13"/>
      <c r="AFE11" s="13"/>
      <c r="AFF11" s="13"/>
      <c r="AFG11" s="13"/>
      <c r="AFH11" s="13"/>
      <c r="AFI11" s="13"/>
      <c r="AFJ11" s="13"/>
      <c r="AFK11" s="13"/>
      <c r="AFL11" s="13"/>
      <c r="AFM11" s="13"/>
      <c r="AFN11" s="13"/>
      <c r="AFO11" s="13"/>
      <c r="AFP11" s="13"/>
      <c r="AFQ11" s="13"/>
      <c r="AFR11" s="13"/>
      <c r="AFS11" s="13"/>
      <c r="AFT11" s="13"/>
      <c r="AFU11" s="13"/>
      <c r="AFV11" s="13"/>
      <c r="AFW11" s="13"/>
      <c r="AFX11" s="13"/>
      <c r="AFY11" s="13"/>
      <c r="AFZ11" s="13"/>
      <c r="AGA11" s="13"/>
      <c r="AGB11" s="13"/>
      <c r="AGC11" s="13"/>
      <c r="AGD11" s="13"/>
      <c r="AGE11" s="13"/>
      <c r="AGF11" s="13"/>
      <c r="AGG11" s="13"/>
      <c r="AGH11" s="13"/>
      <c r="AGI11" s="13"/>
      <c r="AGJ11" s="13"/>
      <c r="AGK11" s="13"/>
      <c r="AGL11" s="13"/>
      <c r="AGM11" s="13"/>
      <c r="AGN11" s="13"/>
      <c r="AGO11" s="13"/>
      <c r="AGP11" s="13"/>
      <c r="AGQ11" s="13"/>
      <c r="AGR11" s="13"/>
      <c r="AGS11" s="13"/>
      <c r="AGT11" s="13"/>
      <c r="AGU11" s="13"/>
      <c r="AGV11" s="13"/>
      <c r="AGW11" s="13"/>
      <c r="AGX11" s="13"/>
      <c r="AGY11" s="13"/>
      <c r="AGZ11" s="13"/>
      <c r="AHA11" s="13"/>
      <c r="AHB11" s="13"/>
      <c r="AHC11" s="13"/>
      <c r="AHD11" s="13"/>
      <c r="AHE11" s="13"/>
      <c r="AHF11" s="13"/>
      <c r="AHG11" s="13"/>
      <c r="AHH11" s="13"/>
      <c r="AHI11" s="13"/>
      <c r="AHJ11" s="13"/>
      <c r="AHK11" s="13"/>
      <c r="AHL11" s="13"/>
      <c r="AHM11" s="13"/>
      <c r="AHN11" s="13"/>
      <c r="AHO11" s="13"/>
      <c r="AHP11" s="13"/>
      <c r="AHQ11" s="13"/>
      <c r="AHR11" s="13"/>
      <c r="AHS11" s="13"/>
      <c r="AHT11" s="13"/>
      <c r="AHU11" s="13"/>
      <c r="AHV11" s="13"/>
      <c r="AHW11" s="13"/>
      <c r="AHX11" s="13"/>
      <c r="AHY11" s="13"/>
      <c r="AHZ11" s="13"/>
      <c r="AIA11" s="13"/>
      <c r="AIB11" s="13"/>
      <c r="AIC11" s="13"/>
      <c r="AID11" s="13"/>
      <c r="AIE11" s="13"/>
      <c r="AIF11" s="13"/>
      <c r="AIG11" s="13"/>
      <c r="AIH11" s="13"/>
      <c r="AII11" s="13"/>
      <c r="AIJ11" s="13"/>
      <c r="AIK11" s="13"/>
      <c r="AIL11" s="13"/>
      <c r="AIM11" s="13"/>
      <c r="AIN11" s="13"/>
      <c r="AIO11" s="13"/>
      <c r="AIP11" s="13"/>
      <c r="AIQ11" s="13"/>
      <c r="AIR11" s="13"/>
      <c r="AIS11" s="13"/>
      <c r="AIT11" s="13"/>
      <c r="AIU11" s="13"/>
      <c r="AIV11" s="13"/>
      <c r="AIW11" s="13"/>
      <c r="AIX11" s="13"/>
      <c r="AIY11" s="13"/>
      <c r="AIZ11" s="13"/>
      <c r="AJA11" s="13"/>
      <c r="AJB11" s="13"/>
      <c r="AJC11" s="13"/>
      <c r="AJD11" s="13"/>
      <c r="AJE11" s="13"/>
      <c r="AJF11" s="13"/>
      <c r="AJG11" s="13"/>
      <c r="AJH11" s="13"/>
      <c r="AJI11" s="13"/>
      <c r="AJJ11" s="13"/>
      <c r="AJK11" s="13"/>
      <c r="AJL11" s="13"/>
      <c r="AJM11" s="13"/>
      <c r="AJN11" s="13"/>
      <c r="AJO11" s="13"/>
      <c r="AJP11" s="13"/>
      <c r="AJQ11" s="13"/>
      <c r="AJR11" s="13"/>
      <c r="AJS11" s="13"/>
      <c r="AJT11" s="13"/>
      <c r="AJU11" s="13"/>
      <c r="AJV11" s="13"/>
      <c r="AJW11" s="13"/>
      <c r="AJX11" s="13"/>
      <c r="AJY11" s="13"/>
      <c r="AJZ11" s="13"/>
      <c r="AKA11" s="13"/>
      <c r="AKB11" s="13"/>
      <c r="AKC11" s="13"/>
      <c r="AKD11" s="13"/>
      <c r="AKE11" s="13"/>
      <c r="AKF11" s="13"/>
      <c r="AKG11" s="13"/>
      <c r="AKH11" s="13"/>
      <c r="AKI11" s="13"/>
      <c r="AKJ11" s="13"/>
      <c r="AKK11" s="13"/>
      <c r="AKL11" s="13"/>
      <c r="AKM11" s="13"/>
      <c r="AKN11" s="13"/>
      <c r="AKO11" s="13"/>
      <c r="AKP11" s="13"/>
      <c r="AKQ11" s="13"/>
      <c r="AKR11" s="13"/>
      <c r="AKS11" s="13"/>
      <c r="AKT11" s="13"/>
      <c r="AKU11" s="13"/>
      <c r="AKV11" s="13"/>
      <c r="AKW11" s="13"/>
      <c r="AKX11" s="13"/>
      <c r="AKY11" s="13"/>
      <c r="AKZ11" s="13"/>
      <c r="ALA11" s="13"/>
      <c r="ALB11" s="13"/>
      <c r="ALC11" s="13"/>
      <c r="ALD11" s="13"/>
      <c r="ALE11" s="13"/>
      <c r="ALF11" s="13"/>
      <c r="ALG11" s="13"/>
      <c r="ALH11" s="13"/>
      <c r="ALI11" s="13"/>
      <c r="ALJ11" s="13"/>
      <c r="ALK11" s="13"/>
      <c r="ALL11" s="13"/>
      <c r="ALM11" s="13"/>
      <c r="ALN11" s="13"/>
      <c r="ALO11" s="13"/>
    </row>
    <row r="12" spans="1:1003" x14ac:dyDescent="0.35">
      <c r="A12" s="143" t="s">
        <v>170</v>
      </c>
      <c r="B12" s="143"/>
      <c r="C12" s="210"/>
      <c r="D12" s="210"/>
      <c r="E12" s="211">
        <f>TB!B17</f>
        <v>112919.5</v>
      </c>
      <c r="F12" s="101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/>
      <c r="GI12" s="13"/>
      <c r="GJ12" s="13"/>
      <c r="GK12" s="13"/>
      <c r="GL12" s="13"/>
      <c r="GM12" s="13"/>
      <c r="GN12" s="13"/>
      <c r="GO12" s="13"/>
      <c r="GP12" s="13"/>
      <c r="GQ12" s="13"/>
      <c r="GR12" s="13"/>
      <c r="GS12" s="13"/>
      <c r="GT12" s="13"/>
      <c r="GU12" s="13"/>
      <c r="GV12" s="13"/>
      <c r="GW12" s="13"/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13"/>
      <c r="HI12" s="13"/>
      <c r="HJ12" s="13"/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/>
      <c r="HY12" s="13"/>
      <c r="HZ12" s="13"/>
      <c r="IA12" s="13"/>
      <c r="IB12" s="13"/>
      <c r="IC12" s="13"/>
      <c r="ID12" s="13"/>
      <c r="IE12" s="13"/>
      <c r="IF12" s="13"/>
      <c r="IG12" s="13"/>
      <c r="IH12" s="13"/>
      <c r="II12" s="13"/>
      <c r="IJ12" s="13"/>
      <c r="IK12" s="13"/>
      <c r="IL12" s="13"/>
      <c r="IM12" s="13"/>
      <c r="IN12" s="13"/>
      <c r="IO12" s="13"/>
      <c r="IP12" s="13"/>
      <c r="IQ12" s="13"/>
      <c r="IR12" s="13"/>
      <c r="IS12" s="13"/>
      <c r="IT12" s="13"/>
      <c r="IU12" s="13"/>
      <c r="IV12" s="13"/>
      <c r="IW12" s="13"/>
      <c r="IX12" s="13"/>
      <c r="IY12" s="13"/>
      <c r="IZ12" s="13"/>
      <c r="JA12" s="13"/>
      <c r="JB12" s="13"/>
      <c r="JC12" s="13"/>
      <c r="JD12" s="13"/>
      <c r="JE12" s="13"/>
      <c r="JF12" s="13"/>
      <c r="JG12" s="13"/>
      <c r="JH12" s="13"/>
      <c r="JI12" s="13"/>
      <c r="JJ12" s="13"/>
      <c r="JK12" s="13"/>
      <c r="JL12" s="13"/>
      <c r="JM12" s="13"/>
      <c r="JN12" s="13"/>
      <c r="JO12" s="13"/>
      <c r="JP12" s="13"/>
      <c r="JQ12" s="13"/>
      <c r="JR12" s="13"/>
      <c r="JS12" s="13"/>
      <c r="JT12" s="13"/>
      <c r="JU12" s="13"/>
      <c r="JV12" s="13"/>
      <c r="JW12" s="13"/>
      <c r="JX12" s="13"/>
      <c r="JY12" s="13"/>
      <c r="JZ12" s="13"/>
      <c r="KA12" s="13"/>
      <c r="KB12" s="13"/>
      <c r="KC12" s="13"/>
      <c r="KD12" s="13"/>
      <c r="KE12" s="13"/>
      <c r="KF12" s="13"/>
      <c r="KG12" s="13"/>
      <c r="KH12" s="13"/>
      <c r="KI12" s="13"/>
      <c r="KJ12" s="13"/>
      <c r="KK12" s="13"/>
      <c r="KL12" s="13"/>
      <c r="KM12" s="13"/>
      <c r="KN12" s="13"/>
      <c r="KO12" s="13"/>
      <c r="KP12" s="13"/>
      <c r="KQ12" s="13"/>
      <c r="KR12" s="13"/>
      <c r="KS12" s="13"/>
      <c r="KT12" s="13"/>
      <c r="KU12" s="13"/>
      <c r="KV12" s="13"/>
      <c r="KW12" s="13"/>
      <c r="KX12" s="13"/>
      <c r="KY12" s="13"/>
      <c r="KZ12" s="13"/>
      <c r="LA12" s="13"/>
      <c r="LB12" s="13"/>
      <c r="LC12" s="13"/>
      <c r="LD12" s="13"/>
      <c r="LE12" s="13"/>
      <c r="LF12" s="13"/>
      <c r="LG12" s="13"/>
      <c r="LH12" s="13"/>
      <c r="LI12" s="13"/>
      <c r="LJ12" s="13"/>
      <c r="LK12" s="13"/>
      <c r="LL12" s="13"/>
      <c r="LM12" s="13"/>
      <c r="LN12" s="13"/>
      <c r="LO12" s="13"/>
      <c r="LP12" s="13"/>
      <c r="LQ12" s="13"/>
      <c r="LR12" s="13"/>
      <c r="LS12" s="13"/>
      <c r="LT12" s="13"/>
      <c r="LU12" s="13"/>
      <c r="LV12" s="13"/>
      <c r="LW12" s="13"/>
      <c r="LX12" s="13"/>
      <c r="LY12" s="13"/>
      <c r="LZ12" s="13"/>
      <c r="MA12" s="13"/>
      <c r="MB12" s="13"/>
      <c r="MC12" s="13"/>
      <c r="MD12" s="13"/>
      <c r="ME12" s="13"/>
      <c r="MF12" s="13"/>
      <c r="MG12" s="13"/>
      <c r="MH12" s="13"/>
      <c r="MI12" s="13"/>
      <c r="MJ12" s="13"/>
      <c r="MK12" s="13"/>
      <c r="ML12" s="13"/>
      <c r="MM12" s="13"/>
      <c r="MN12" s="13"/>
      <c r="MO12" s="13"/>
      <c r="MP12" s="13"/>
      <c r="MQ12" s="13"/>
      <c r="MR12" s="13"/>
      <c r="MS12" s="13"/>
      <c r="MT12" s="13"/>
      <c r="MU12" s="13"/>
      <c r="MV12" s="13"/>
      <c r="MW12" s="13"/>
      <c r="MX12" s="13"/>
      <c r="MY12" s="13"/>
      <c r="MZ12" s="13"/>
      <c r="NA12" s="13"/>
      <c r="NB12" s="13"/>
      <c r="NC12" s="13"/>
      <c r="ND12" s="13"/>
      <c r="NE12" s="13"/>
      <c r="NF12" s="13"/>
      <c r="NG12" s="13"/>
      <c r="NH12" s="13"/>
      <c r="NI12" s="13"/>
      <c r="NJ12" s="13"/>
      <c r="NK12" s="13"/>
      <c r="NL12" s="13"/>
      <c r="NM12" s="13"/>
      <c r="NN12" s="13"/>
      <c r="NO12" s="13"/>
      <c r="NP12" s="13"/>
      <c r="NQ12" s="13"/>
      <c r="NR12" s="13"/>
      <c r="NS12" s="13"/>
      <c r="NT12" s="13"/>
      <c r="NU12" s="13"/>
      <c r="NV12" s="13"/>
      <c r="NW12" s="13"/>
      <c r="NX12" s="13"/>
      <c r="NY12" s="13"/>
      <c r="NZ12" s="13"/>
      <c r="OA12" s="13"/>
      <c r="OB12" s="13"/>
      <c r="OC12" s="13"/>
      <c r="OD12" s="13"/>
      <c r="OE12" s="13"/>
      <c r="OF12" s="13"/>
      <c r="OG12" s="13"/>
      <c r="OH12" s="13"/>
      <c r="OI12" s="13"/>
      <c r="OJ12" s="13"/>
      <c r="OK12" s="13"/>
      <c r="OL12" s="13"/>
      <c r="OM12" s="13"/>
      <c r="ON12" s="13"/>
      <c r="OO12" s="13"/>
      <c r="OP12" s="13"/>
      <c r="OQ12" s="13"/>
      <c r="OR12" s="13"/>
      <c r="OS12" s="13"/>
      <c r="OT12" s="13"/>
      <c r="OU12" s="13"/>
      <c r="OV12" s="13"/>
      <c r="OW12" s="13"/>
      <c r="OX12" s="13"/>
      <c r="OY12" s="13"/>
      <c r="OZ12" s="13"/>
      <c r="PA12" s="13"/>
      <c r="PB12" s="13"/>
      <c r="PC12" s="13"/>
      <c r="PD12" s="13"/>
      <c r="PE12" s="13"/>
      <c r="PF12" s="13"/>
      <c r="PG12" s="13"/>
      <c r="PH12" s="13"/>
      <c r="PI12" s="13"/>
      <c r="PJ12" s="13"/>
      <c r="PK12" s="13"/>
      <c r="PL12" s="13"/>
      <c r="PM12" s="13"/>
      <c r="PN12" s="13"/>
      <c r="PO12" s="13"/>
      <c r="PP12" s="13"/>
      <c r="PQ12" s="13"/>
      <c r="PR12" s="13"/>
      <c r="PS12" s="13"/>
      <c r="PT12" s="13"/>
      <c r="PU12" s="13"/>
      <c r="PV12" s="13"/>
      <c r="PW12" s="13"/>
      <c r="PX12" s="13"/>
      <c r="PY12" s="13"/>
      <c r="PZ12" s="13"/>
      <c r="QA12" s="13"/>
      <c r="QB12" s="13"/>
      <c r="QC12" s="13"/>
      <c r="QD12" s="13"/>
      <c r="QE12" s="13"/>
      <c r="QF12" s="13"/>
      <c r="QG12" s="13"/>
      <c r="QH12" s="13"/>
      <c r="QI12" s="13"/>
      <c r="QJ12" s="13"/>
      <c r="QK12" s="13"/>
      <c r="QL12" s="13"/>
      <c r="QM12" s="13"/>
      <c r="QN12" s="13"/>
      <c r="QO12" s="13"/>
      <c r="QP12" s="13"/>
      <c r="QQ12" s="13"/>
      <c r="QR12" s="13"/>
      <c r="QS12" s="13"/>
      <c r="QT12" s="13"/>
      <c r="QU12" s="13"/>
      <c r="QV12" s="13"/>
      <c r="QW12" s="13"/>
      <c r="QX12" s="13"/>
      <c r="QY12" s="13"/>
      <c r="QZ12" s="13"/>
      <c r="RA12" s="13"/>
      <c r="RB12" s="13"/>
      <c r="RC12" s="13"/>
      <c r="RD12" s="13"/>
      <c r="RE12" s="13"/>
      <c r="RF12" s="13"/>
      <c r="RG12" s="13"/>
      <c r="RH12" s="13"/>
      <c r="RI12" s="13"/>
      <c r="RJ12" s="13"/>
      <c r="RK12" s="13"/>
      <c r="RL12" s="13"/>
      <c r="RM12" s="13"/>
      <c r="RN12" s="13"/>
      <c r="RO12" s="13"/>
      <c r="RP12" s="13"/>
      <c r="RQ12" s="13"/>
      <c r="RR12" s="13"/>
      <c r="RS12" s="13"/>
      <c r="RT12" s="13"/>
      <c r="RU12" s="13"/>
      <c r="RV12" s="13"/>
      <c r="RW12" s="13"/>
      <c r="RX12" s="13"/>
      <c r="RY12" s="13"/>
      <c r="RZ12" s="13"/>
      <c r="SA12" s="13"/>
      <c r="SB12" s="13"/>
      <c r="SC12" s="13"/>
      <c r="SD12" s="13"/>
      <c r="SE12" s="13"/>
      <c r="SF12" s="13"/>
      <c r="SG12" s="13"/>
      <c r="SH12" s="13"/>
      <c r="SI12" s="13"/>
      <c r="SJ12" s="13"/>
      <c r="SK12" s="13"/>
      <c r="SL12" s="13"/>
      <c r="SM12" s="13"/>
      <c r="SN12" s="13"/>
      <c r="SO12" s="13"/>
      <c r="SP12" s="13"/>
      <c r="SQ12" s="13"/>
      <c r="SR12" s="13"/>
      <c r="SS12" s="13"/>
      <c r="ST12" s="13"/>
      <c r="SU12" s="13"/>
      <c r="SV12" s="13"/>
      <c r="SW12" s="13"/>
      <c r="SX12" s="13"/>
      <c r="SY12" s="13"/>
      <c r="SZ12" s="13"/>
      <c r="TA12" s="13"/>
      <c r="TB12" s="13"/>
      <c r="TC12" s="13"/>
      <c r="TD12" s="13"/>
      <c r="TE12" s="13"/>
      <c r="TF12" s="13"/>
      <c r="TG12" s="13"/>
      <c r="TH12" s="13"/>
      <c r="TI12" s="13"/>
      <c r="TJ12" s="13"/>
      <c r="TK12" s="13"/>
      <c r="TL12" s="13"/>
      <c r="TM12" s="13"/>
      <c r="TN12" s="13"/>
      <c r="TO12" s="13"/>
      <c r="TP12" s="13"/>
      <c r="TQ12" s="13"/>
      <c r="TR12" s="13"/>
      <c r="TS12" s="13"/>
      <c r="TT12" s="13"/>
      <c r="TU12" s="13"/>
      <c r="TV12" s="13"/>
      <c r="TW12" s="13"/>
      <c r="TX12" s="13"/>
      <c r="TY12" s="13"/>
      <c r="TZ12" s="13"/>
      <c r="UA12" s="13"/>
      <c r="UB12" s="13"/>
      <c r="UC12" s="13"/>
      <c r="UD12" s="13"/>
      <c r="UE12" s="13"/>
      <c r="UF12" s="13"/>
      <c r="UG12" s="13"/>
      <c r="UH12" s="13"/>
      <c r="UI12" s="13"/>
      <c r="UJ12" s="13"/>
      <c r="UK12" s="13"/>
      <c r="UL12" s="13"/>
      <c r="UM12" s="13"/>
      <c r="UN12" s="13"/>
      <c r="UO12" s="13"/>
      <c r="UP12" s="13"/>
      <c r="UQ12" s="13"/>
      <c r="UR12" s="13"/>
      <c r="US12" s="13"/>
      <c r="UT12" s="13"/>
      <c r="UU12" s="13"/>
      <c r="UV12" s="13"/>
      <c r="UW12" s="13"/>
      <c r="UX12" s="13"/>
      <c r="UY12" s="13"/>
      <c r="UZ12" s="13"/>
      <c r="VA12" s="13"/>
      <c r="VB12" s="13"/>
      <c r="VC12" s="13"/>
      <c r="VD12" s="13"/>
      <c r="VE12" s="13"/>
      <c r="VF12" s="13"/>
      <c r="VG12" s="13"/>
      <c r="VH12" s="13"/>
      <c r="VI12" s="13"/>
      <c r="VJ12" s="13"/>
      <c r="VK12" s="13"/>
      <c r="VL12" s="13"/>
      <c r="VM12" s="13"/>
      <c r="VN12" s="13"/>
      <c r="VO12" s="13"/>
      <c r="VP12" s="13"/>
      <c r="VQ12" s="13"/>
      <c r="VR12" s="13"/>
      <c r="VS12" s="13"/>
      <c r="VT12" s="13"/>
      <c r="VU12" s="13"/>
      <c r="VV12" s="13"/>
      <c r="VW12" s="13"/>
      <c r="VX12" s="13"/>
      <c r="VY12" s="13"/>
      <c r="VZ12" s="13"/>
      <c r="WA12" s="13"/>
      <c r="WB12" s="13"/>
      <c r="WC12" s="13"/>
      <c r="WD12" s="13"/>
      <c r="WE12" s="13"/>
      <c r="WF12" s="13"/>
      <c r="WG12" s="13"/>
      <c r="WH12" s="13"/>
      <c r="WI12" s="13"/>
      <c r="WJ12" s="13"/>
      <c r="WK12" s="13"/>
      <c r="WL12" s="13"/>
      <c r="WM12" s="13"/>
      <c r="WN12" s="13"/>
      <c r="WO12" s="13"/>
      <c r="WP12" s="13"/>
      <c r="WQ12" s="13"/>
      <c r="WR12" s="13"/>
      <c r="WS12" s="13"/>
      <c r="WT12" s="13"/>
      <c r="WU12" s="13"/>
      <c r="WV12" s="13"/>
      <c r="WW12" s="13"/>
      <c r="WX12" s="13"/>
      <c r="WY12" s="13"/>
      <c r="WZ12" s="13"/>
      <c r="XA12" s="13"/>
      <c r="XB12" s="13"/>
      <c r="XC12" s="13"/>
      <c r="XD12" s="13"/>
      <c r="XE12" s="13"/>
      <c r="XF12" s="13"/>
      <c r="XG12" s="13"/>
      <c r="XH12" s="13"/>
      <c r="XI12" s="13"/>
      <c r="XJ12" s="13"/>
      <c r="XK12" s="13"/>
      <c r="XL12" s="13"/>
      <c r="XM12" s="13"/>
      <c r="XN12" s="13"/>
      <c r="XO12" s="13"/>
      <c r="XP12" s="13"/>
      <c r="XQ12" s="13"/>
      <c r="XR12" s="13"/>
      <c r="XS12" s="13"/>
      <c r="XT12" s="13"/>
      <c r="XU12" s="13"/>
      <c r="XV12" s="13"/>
      <c r="XW12" s="13"/>
      <c r="XX12" s="13"/>
      <c r="XY12" s="13"/>
      <c r="XZ12" s="13"/>
      <c r="YA12" s="13"/>
      <c r="YB12" s="13"/>
      <c r="YC12" s="13"/>
      <c r="YD12" s="13"/>
      <c r="YE12" s="13"/>
      <c r="YF12" s="13"/>
      <c r="YG12" s="13"/>
      <c r="YH12" s="13"/>
      <c r="YI12" s="13"/>
      <c r="YJ12" s="13"/>
      <c r="YK12" s="13"/>
      <c r="YL12" s="13"/>
      <c r="YM12" s="13"/>
      <c r="YN12" s="13"/>
      <c r="YO12" s="13"/>
      <c r="YP12" s="13"/>
      <c r="YQ12" s="13"/>
      <c r="YR12" s="13"/>
      <c r="YS12" s="13"/>
      <c r="YT12" s="13"/>
      <c r="YU12" s="13"/>
      <c r="YV12" s="13"/>
      <c r="YW12" s="13"/>
      <c r="YX12" s="13"/>
      <c r="YY12" s="13"/>
      <c r="YZ12" s="13"/>
      <c r="ZA12" s="13"/>
      <c r="ZB12" s="13"/>
      <c r="ZC12" s="13"/>
      <c r="ZD12" s="13"/>
      <c r="ZE12" s="13"/>
      <c r="ZF12" s="13"/>
      <c r="ZG12" s="13"/>
      <c r="ZH12" s="13"/>
      <c r="ZI12" s="13"/>
      <c r="ZJ12" s="13"/>
      <c r="ZK12" s="13"/>
      <c r="ZL12" s="13"/>
      <c r="ZM12" s="13"/>
      <c r="ZN12" s="13"/>
      <c r="ZO12" s="13"/>
      <c r="ZP12" s="13"/>
      <c r="ZQ12" s="13"/>
      <c r="ZR12" s="13"/>
      <c r="ZS12" s="13"/>
      <c r="ZT12" s="13"/>
      <c r="ZU12" s="13"/>
      <c r="ZV12" s="13"/>
      <c r="ZW12" s="13"/>
      <c r="ZX12" s="13"/>
      <c r="ZY12" s="13"/>
      <c r="ZZ12" s="13"/>
      <c r="AAA12" s="13"/>
      <c r="AAB12" s="13"/>
      <c r="AAC12" s="13"/>
      <c r="AAD12" s="13"/>
      <c r="AAE12" s="13"/>
      <c r="AAF12" s="13"/>
      <c r="AAG12" s="13"/>
      <c r="AAH12" s="13"/>
      <c r="AAI12" s="13"/>
      <c r="AAJ12" s="13"/>
      <c r="AAK12" s="13"/>
      <c r="AAL12" s="13"/>
      <c r="AAM12" s="13"/>
      <c r="AAN12" s="13"/>
      <c r="AAO12" s="13"/>
      <c r="AAP12" s="13"/>
      <c r="AAQ12" s="13"/>
      <c r="AAR12" s="13"/>
      <c r="AAS12" s="13"/>
      <c r="AAT12" s="13"/>
      <c r="AAU12" s="13"/>
      <c r="AAV12" s="13"/>
      <c r="AAW12" s="13"/>
      <c r="AAX12" s="13"/>
      <c r="AAY12" s="13"/>
      <c r="AAZ12" s="13"/>
      <c r="ABA12" s="13"/>
      <c r="ABB12" s="13"/>
      <c r="ABC12" s="13"/>
      <c r="ABD12" s="13"/>
      <c r="ABE12" s="13"/>
      <c r="ABF12" s="13"/>
      <c r="ABG12" s="13"/>
      <c r="ABH12" s="13"/>
      <c r="ABI12" s="13"/>
      <c r="ABJ12" s="13"/>
      <c r="ABK12" s="13"/>
      <c r="ABL12" s="13"/>
      <c r="ABM12" s="13"/>
      <c r="ABN12" s="13"/>
      <c r="ABO12" s="13"/>
      <c r="ABP12" s="13"/>
      <c r="ABQ12" s="13"/>
      <c r="ABR12" s="13"/>
      <c r="ABS12" s="13"/>
      <c r="ABT12" s="13"/>
      <c r="ABU12" s="13"/>
      <c r="ABV12" s="13"/>
      <c r="ABW12" s="13"/>
      <c r="ABX12" s="13"/>
      <c r="ABY12" s="13"/>
      <c r="ABZ12" s="13"/>
      <c r="ACA12" s="13"/>
      <c r="ACB12" s="13"/>
      <c r="ACC12" s="13"/>
      <c r="ACD12" s="13"/>
      <c r="ACE12" s="13"/>
      <c r="ACF12" s="13"/>
      <c r="ACG12" s="13"/>
      <c r="ACH12" s="13"/>
      <c r="ACI12" s="13"/>
      <c r="ACJ12" s="13"/>
      <c r="ACK12" s="13"/>
      <c r="ACL12" s="13"/>
      <c r="ACM12" s="13"/>
      <c r="ACN12" s="13"/>
      <c r="ACO12" s="13"/>
      <c r="ACP12" s="13"/>
      <c r="ACQ12" s="13"/>
      <c r="ACR12" s="13"/>
      <c r="ACS12" s="13"/>
      <c r="ACT12" s="13"/>
      <c r="ACU12" s="13"/>
      <c r="ACV12" s="13"/>
      <c r="ACW12" s="13"/>
      <c r="ACX12" s="13"/>
      <c r="ACY12" s="13"/>
      <c r="ACZ12" s="13"/>
      <c r="ADA12" s="13"/>
      <c r="ADB12" s="13"/>
      <c r="ADC12" s="13"/>
      <c r="ADD12" s="13"/>
      <c r="ADE12" s="13"/>
      <c r="ADF12" s="13"/>
      <c r="ADG12" s="13"/>
      <c r="ADH12" s="13"/>
      <c r="ADI12" s="13"/>
      <c r="ADJ12" s="13"/>
      <c r="ADK12" s="13"/>
      <c r="ADL12" s="13"/>
      <c r="ADM12" s="13"/>
      <c r="ADN12" s="13"/>
      <c r="ADO12" s="13"/>
      <c r="ADP12" s="13"/>
      <c r="ADQ12" s="13"/>
      <c r="ADR12" s="13"/>
      <c r="ADS12" s="13"/>
      <c r="ADT12" s="13"/>
      <c r="ADU12" s="13"/>
      <c r="ADV12" s="13"/>
      <c r="ADW12" s="13"/>
      <c r="ADX12" s="13"/>
      <c r="ADY12" s="13"/>
      <c r="ADZ12" s="13"/>
      <c r="AEA12" s="13"/>
      <c r="AEB12" s="13"/>
      <c r="AEC12" s="13"/>
      <c r="AED12" s="13"/>
      <c r="AEE12" s="13"/>
      <c r="AEF12" s="13"/>
      <c r="AEG12" s="13"/>
      <c r="AEH12" s="13"/>
      <c r="AEI12" s="13"/>
      <c r="AEJ12" s="13"/>
      <c r="AEK12" s="13"/>
      <c r="AEL12" s="13"/>
      <c r="AEM12" s="13"/>
      <c r="AEN12" s="13"/>
      <c r="AEO12" s="13"/>
      <c r="AEP12" s="13"/>
      <c r="AEQ12" s="13"/>
      <c r="AER12" s="13"/>
      <c r="AES12" s="13"/>
      <c r="AET12" s="13"/>
      <c r="AEU12" s="13"/>
      <c r="AEV12" s="13"/>
      <c r="AEW12" s="13"/>
      <c r="AEX12" s="13"/>
      <c r="AEY12" s="13"/>
      <c r="AEZ12" s="13"/>
      <c r="AFA12" s="13"/>
      <c r="AFB12" s="13"/>
      <c r="AFC12" s="13"/>
      <c r="AFD12" s="13"/>
      <c r="AFE12" s="13"/>
      <c r="AFF12" s="13"/>
      <c r="AFG12" s="13"/>
      <c r="AFH12" s="13"/>
      <c r="AFI12" s="13"/>
      <c r="AFJ12" s="13"/>
      <c r="AFK12" s="13"/>
      <c r="AFL12" s="13"/>
      <c r="AFM12" s="13"/>
      <c r="AFN12" s="13"/>
      <c r="AFO12" s="13"/>
      <c r="AFP12" s="13"/>
      <c r="AFQ12" s="13"/>
      <c r="AFR12" s="13"/>
      <c r="AFS12" s="13"/>
      <c r="AFT12" s="13"/>
      <c r="AFU12" s="13"/>
      <c r="AFV12" s="13"/>
      <c r="AFW12" s="13"/>
      <c r="AFX12" s="13"/>
      <c r="AFY12" s="13"/>
      <c r="AFZ12" s="13"/>
      <c r="AGA12" s="13"/>
      <c r="AGB12" s="13"/>
      <c r="AGC12" s="13"/>
      <c r="AGD12" s="13"/>
      <c r="AGE12" s="13"/>
      <c r="AGF12" s="13"/>
      <c r="AGG12" s="13"/>
      <c r="AGH12" s="13"/>
      <c r="AGI12" s="13"/>
      <c r="AGJ12" s="13"/>
      <c r="AGK12" s="13"/>
      <c r="AGL12" s="13"/>
      <c r="AGM12" s="13"/>
      <c r="AGN12" s="13"/>
      <c r="AGO12" s="13"/>
      <c r="AGP12" s="13"/>
      <c r="AGQ12" s="13"/>
      <c r="AGR12" s="13"/>
      <c r="AGS12" s="13"/>
      <c r="AGT12" s="13"/>
      <c r="AGU12" s="13"/>
      <c r="AGV12" s="13"/>
      <c r="AGW12" s="13"/>
      <c r="AGX12" s="13"/>
      <c r="AGY12" s="13"/>
      <c r="AGZ12" s="13"/>
      <c r="AHA12" s="13"/>
      <c r="AHB12" s="13"/>
      <c r="AHC12" s="13"/>
      <c r="AHD12" s="13"/>
      <c r="AHE12" s="13"/>
      <c r="AHF12" s="13"/>
      <c r="AHG12" s="13"/>
      <c r="AHH12" s="13"/>
      <c r="AHI12" s="13"/>
      <c r="AHJ12" s="13"/>
      <c r="AHK12" s="13"/>
      <c r="AHL12" s="13"/>
      <c r="AHM12" s="13"/>
      <c r="AHN12" s="13"/>
      <c r="AHO12" s="13"/>
      <c r="AHP12" s="13"/>
      <c r="AHQ12" s="13"/>
      <c r="AHR12" s="13"/>
      <c r="AHS12" s="13"/>
      <c r="AHT12" s="13"/>
      <c r="AHU12" s="13"/>
      <c r="AHV12" s="13"/>
      <c r="AHW12" s="13"/>
      <c r="AHX12" s="13"/>
      <c r="AHY12" s="13"/>
      <c r="AHZ12" s="13"/>
      <c r="AIA12" s="13"/>
      <c r="AIB12" s="13"/>
      <c r="AIC12" s="13"/>
      <c r="AID12" s="13"/>
      <c r="AIE12" s="13"/>
      <c r="AIF12" s="13"/>
      <c r="AIG12" s="13"/>
      <c r="AIH12" s="13"/>
      <c r="AII12" s="13"/>
      <c r="AIJ12" s="13"/>
      <c r="AIK12" s="13"/>
      <c r="AIL12" s="13"/>
      <c r="AIM12" s="13"/>
      <c r="AIN12" s="13"/>
      <c r="AIO12" s="13"/>
      <c r="AIP12" s="13"/>
      <c r="AIQ12" s="13"/>
      <c r="AIR12" s="13"/>
      <c r="AIS12" s="13"/>
      <c r="AIT12" s="13"/>
      <c r="AIU12" s="13"/>
      <c r="AIV12" s="13"/>
      <c r="AIW12" s="13"/>
      <c r="AIX12" s="13"/>
      <c r="AIY12" s="13"/>
      <c r="AIZ12" s="13"/>
      <c r="AJA12" s="13"/>
      <c r="AJB12" s="13"/>
      <c r="AJC12" s="13"/>
      <c r="AJD12" s="13"/>
      <c r="AJE12" s="13"/>
      <c r="AJF12" s="13"/>
      <c r="AJG12" s="13"/>
      <c r="AJH12" s="13"/>
      <c r="AJI12" s="13"/>
      <c r="AJJ12" s="13"/>
      <c r="AJK12" s="13"/>
      <c r="AJL12" s="13"/>
      <c r="AJM12" s="13"/>
      <c r="AJN12" s="13"/>
      <c r="AJO12" s="13"/>
      <c r="AJP12" s="13"/>
      <c r="AJQ12" s="13"/>
      <c r="AJR12" s="13"/>
      <c r="AJS12" s="13"/>
      <c r="AJT12" s="13"/>
      <c r="AJU12" s="13"/>
      <c r="AJV12" s="13"/>
      <c r="AJW12" s="13"/>
      <c r="AJX12" s="13"/>
      <c r="AJY12" s="13"/>
      <c r="AJZ12" s="13"/>
      <c r="AKA12" s="13"/>
      <c r="AKB12" s="13"/>
      <c r="AKC12" s="13"/>
      <c r="AKD12" s="13"/>
      <c r="AKE12" s="13"/>
      <c r="AKF12" s="13"/>
      <c r="AKG12" s="13"/>
      <c r="AKH12" s="13"/>
      <c r="AKI12" s="13"/>
      <c r="AKJ12" s="13"/>
      <c r="AKK12" s="13"/>
      <c r="AKL12" s="13"/>
      <c r="AKM12" s="13"/>
      <c r="AKN12" s="13"/>
      <c r="AKO12" s="13"/>
      <c r="AKP12" s="13"/>
      <c r="AKQ12" s="13"/>
      <c r="AKR12" s="13"/>
      <c r="AKS12" s="13"/>
      <c r="AKT12" s="13"/>
      <c r="AKU12" s="13"/>
      <c r="AKV12" s="13"/>
      <c r="AKW12" s="13"/>
      <c r="AKX12" s="13"/>
      <c r="AKY12" s="13"/>
      <c r="AKZ12" s="13"/>
      <c r="ALA12" s="13"/>
      <c r="ALB12" s="13"/>
      <c r="ALC12" s="13"/>
      <c r="ALD12" s="13"/>
      <c r="ALE12" s="13"/>
      <c r="ALF12" s="13"/>
      <c r="ALG12" s="13"/>
      <c r="ALH12" s="13"/>
      <c r="ALI12" s="13"/>
      <c r="ALJ12" s="13"/>
      <c r="ALK12" s="13"/>
      <c r="ALL12" s="13"/>
      <c r="ALM12" s="13"/>
      <c r="ALN12" s="13"/>
      <c r="ALO12" s="13"/>
    </row>
    <row r="13" spans="1:1003" x14ac:dyDescent="0.35">
      <c r="A13" s="2" t="s">
        <v>3</v>
      </c>
      <c r="C13" s="3">
        <v>9</v>
      </c>
      <c r="D13" s="3"/>
      <c r="E13" s="73">
        <f>+'P11'!J8</f>
        <v>12560</v>
      </c>
      <c r="F13" s="101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  <c r="FW13" s="13"/>
      <c r="FX13" s="13"/>
      <c r="FY13" s="13"/>
      <c r="FZ13" s="13"/>
      <c r="GA13" s="13"/>
      <c r="GB13" s="13"/>
      <c r="GC13" s="13"/>
      <c r="GD13" s="13"/>
      <c r="GE13" s="13"/>
      <c r="GF13" s="13"/>
      <c r="GG13" s="13"/>
      <c r="GH13" s="13"/>
      <c r="GI13" s="13"/>
      <c r="GJ13" s="13"/>
      <c r="GK13" s="13"/>
      <c r="GL13" s="13"/>
      <c r="GM13" s="13"/>
      <c r="GN13" s="13"/>
      <c r="GO13" s="13"/>
      <c r="GP13" s="13"/>
      <c r="GQ13" s="13"/>
      <c r="GR13" s="13"/>
      <c r="GS13" s="13"/>
      <c r="GT13" s="13"/>
      <c r="GU13" s="13"/>
      <c r="GV13" s="13"/>
      <c r="GW13" s="13"/>
      <c r="GX13" s="13"/>
      <c r="GY13" s="13"/>
      <c r="GZ13" s="13"/>
      <c r="HA13" s="13"/>
      <c r="HB13" s="13"/>
      <c r="HC13" s="13"/>
      <c r="HD13" s="13"/>
      <c r="HE13" s="13"/>
      <c r="HF13" s="13"/>
      <c r="HG13" s="13"/>
      <c r="HH13" s="13"/>
      <c r="HI13" s="13"/>
      <c r="HJ13" s="13"/>
      <c r="HK13" s="13"/>
      <c r="HL13" s="13"/>
      <c r="HM13" s="13"/>
      <c r="HN13" s="13"/>
      <c r="HO13" s="13"/>
      <c r="HP13" s="13"/>
      <c r="HQ13" s="13"/>
      <c r="HR13" s="13"/>
      <c r="HS13" s="13"/>
      <c r="HT13" s="13"/>
      <c r="HU13" s="13"/>
      <c r="HV13" s="13"/>
      <c r="HW13" s="13"/>
      <c r="HX13" s="13"/>
      <c r="HY13" s="13"/>
      <c r="HZ13" s="13"/>
      <c r="IA13" s="13"/>
      <c r="IB13" s="13"/>
      <c r="IC13" s="13"/>
      <c r="ID13" s="13"/>
      <c r="IE13" s="13"/>
      <c r="IF13" s="13"/>
      <c r="IG13" s="13"/>
      <c r="IH13" s="13"/>
      <c r="II13" s="13"/>
      <c r="IJ13" s="13"/>
      <c r="IK13" s="13"/>
      <c r="IL13" s="13"/>
      <c r="IM13" s="13"/>
      <c r="IN13" s="13"/>
      <c r="IO13" s="13"/>
      <c r="IP13" s="13"/>
      <c r="IQ13" s="13"/>
      <c r="IR13" s="13"/>
      <c r="IS13" s="13"/>
      <c r="IT13" s="13"/>
      <c r="IU13" s="13"/>
      <c r="IV13" s="13"/>
      <c r="IW13" s="13"/>
      <c r="IX13" s="13"/>
      <c r="IY13" s="13"/>
      <c r="IZ13" s="13"/>
      <c r="JA13" s="13"/>
      <c r="JB13" s="13"/>
      <c r="JC13" s="13"/>
      <c r="JD13" s="13"/>
      <c r="JE13" s="13"/>
      <c r="JF13" s="13"/>
      <c r="JG13" s="13"/>
      <c r="JH13" s="13"/>
      <c r="JI13" s="13"/>
      <c r="JJ13" s="13"/>
      <c r="JK13" s="13"/>
      <c r="JL13" s="13"/>
      <c r="JM13" s="13"/>
      <c r="JN13" s="13"/>
      <c r="JO13" s="13"/>
      <c r="JP13" s="13"/>
      <c r="JQ13" s="13"/>
      <c r="JR13" s="13"/>
      <c r="JS13" s="13"/>
      <c r="JT13" s="13"/>
      <c r="JU13" s="13"/>
      <c r="JV13" s="13"/>
      <c r="JW13" s="13"/>
      <c r="JX13" s="13"/>
      <c r="JY13" s="13"/>
      <c r="JZ13" s="13"/>
      <c r="KA13" s="13"/>
      <c r="KB13" s="13"/>
      <c r="KC13" s="13"/>
      <c r="KD13" s="13"/>
      <c r="KE13" s="13"/>
      <c r="KF13" s="13"/>
      <c r="KG13" s="13"/>
      <c r="KH13" s="13"/>
      <c r="KI13" s="13"/>
      <c r="KJ13" s="13"/>
      <c r="KK13" s="13"/>
      <c r="KL13" s="13"/>
      <c r="KM13" s="13"/>
      <c r="KN13" s="13"/>
      <c r="KO13" s="13"/>
      <c r="KP13" s="13"/>
      <c r="KQ13" s="13"/>
      <c r="KR13" s="13"/>
      <c r="KS13" s="13"/>
      <c r="KT13" s="13"/>
      <c r="KU13" s="13"/>
      <c r="KV13" s="13"/>
      <c r="KW13" s="13"/>
      <c r="KX13" s="13"/>
      <c r="KY13" s="13"/>
      <c r="KZ13" s="13"/>
      <c r="LA13" s="13"/>
      <c r="LB13" s="13"/>
      <c r="LC13" s="13"/>
      <c r="LD13" s="13"/>
      <c r="LE13" s="13"/>
      <c r="LF13" s="13"/>
      <c r="LG13" s="13"/>
      <c r="LH13" s="13"/>
      <c r="LI13" s="13"/>
      <c r="LJ13" s="13"/>
      <c r="LK13" s="13"/>
      <c r="LL13" s="13"/>
      <c r="LM13" s="13"/>
      <c r="LN13" s="13"/>
      <c r="LO13" s="13"/>
      <c r="LP13" s="13"/>
      <c r="LQ13" s="13"/>
      <c r="LR13" s="13"/>
      <c r="LS13" s="13"/>
      <c r="LT13" s="13"/>
      <c r="LU13" s="13"/>
      <c r="LV13" s="13"/>
      <c r="LW13" s="13"/>
      <c r="LX13" s="13"/>
      <c r="LY13" s="13"/>
      <c r="LZ13" s="13"/>
      <c r="MA13" s="13"/>
      <c r="MB13" s="13"/>
      <c r="MC13" s="13"/>
      <c r="MD13" s="13"/>
      <c r="ME13" s="13"/>
      <c r="MF13" s="13"/>
      <c r="MG13" s="13"/>
      <c r="MH13" s="13"/>
      <c r="MI13" s="13"/>
      <c r="MJ13" s="13"/>
      <c r="MK13" s="13"/>
      <c r="ML13" s="13"/>
      <c r="MM13" s="13"/>
      <c r="MN13" s="13"/>
      <c r="MO13" s="13"/>
      <c r="MP13" s="13"/>
      <c r="MQ13" s="13"/>
      <c r="MR13" s="13"/>
      <c r="MS13" s="13"/>
      <c r="MT13" s="13"/>
      <c r="MU13" s="13"/>
      <c r="MV13" s="13"/>
      <c r="MW13" s="13"/>
      <c r="MX13" s="13"/>
      <c r="MY13" s="13"/>
      <c r="MZ13" s="13"/>
      <c r="NA13" s="13"/>
      <c r="NB13" s="13"/>
      <c r="NC13" s="13"/>
      <c r="ND13" s="13"/>
      <c r="NE13" s="13"/>
      <c r="NF13" s="13"/>
      <c r="NG13" s="13"/>
      <c r="NH13" s="13"/>
      <c r="NI13" s="13"/>
      <c r="NJ13" s="13"/>
      <c r="NK13" s="13"/>
      <c r="NL13" s="13"/>
      <c r="NM13" s="13"/>
      <c r="NN13" s="13"/>
      <c r="NO13" s="13"/>
      <c r="NP13" s="13"/>
      <c r="NQ13" s="13"/>
      <c r="NR13" s="13"/>
      <c r="NS13" s="13"/>
      <c r="NT13" s="13"/>
      <c r="NU13" s="13"/>
      <c r="NV13" s="13"/>
      <c r="NW13" s="13"/>
      <c r="NX13" s="13"/>
      <c r="NY13" s="13"/>
      <c r="NZ13" s="13"/>
      <c r="OA13" s="13"/>
      <c r="OB13" s="13"/>
      <c r="OC13" s="13"/>
      <c r="OD13" s="13"/>
      <c r="OE13" s="13"/>
      <c r="OF13" s="13"/>
      <c r="OG13" s="13"/>
      <c r="OH13" s="13"/>
      <c r="OI13" s="13"/>
      <c r="OJ13" s="13"/>
      <c r="OK13" s="13"/>
      <c r="OL13" s="13"/>
      <c r="OM13" s="13"/>
      <c r="ON13" s="13"/>
      <c r="OO13" s="13"/>
      <c r="OP13" s="13"/>
      <c r="OQ13" s="13"/>
      <c r="OR13" s="13"/>
      <c r="OS13" s="13"/>
      <c r="OT13" s="13"/>
      <c r="OU13" s="13"/>
      <c r="OV13" s="13"/>
      <c r="OW13" s="13"/>
      <c r="OX13" s="13"/>
      <c r="OY13" s="13"/>
      <c r="OZ13" s="13"/>
      <c r="PA13" s="13"/>
      <c r="PB13" s="13"/>
      <c r="PC13" s="13"/>
      <c r="PD13" s="13"/>
      <c r="PE13" s="13"/>
      <c r="PF13" s="13"/>
      <c r="PG13" s="13"/>
      <c r="PH13" s="13"/>
      <c r="PI13" s="13"/>
      <c r="PJ13" s="13"/>
      <c r="PK13" s="13"/>
      <c r="PL13" s="13"/>
      <c r="PM13" s="13"/>
      <c r="PN13" s="13"/>
      <c r="PO13" s="13"/>
      <c r="PP13" s="13"/>
      <c r="PQ13" s="13"/>
      <c r="PR13" s="13"/>
      <c r="PS13" s="13"/>
      <c r="PT13" s="13"/>
      <c r="PU13" s="13"/>
      <c r="PV13" s="13"/>
      <c r="PW13" s="13"/>
      <c r="PX13" s="13"/>
      <c r="PY13" s="13"/>
      <c r="PZ13" s="13"/>
      <c r="QA13" s="13"/>
      <c r="QB13" s="13"/>
      <c r="QC13" s="13"/>
      <c r="QD13" s="13"/>
      <c r="QE13" s="13"/>
      <c r="QF13" s="13"/>
      <c r="QG13" s="13"/>
      <c r="QH13" s="13"/>
      <c r="QI13" s="13"/>
      <c r="QJ13" s="13"/>
      <c r="QK13" s="13"/>
      <c r="QL13" s="13"/>
      <c r="QM13" s="13"/>
      <c r="QN13" s="13"/>
      <c r="QO13" s="13"/>
      <c r="QP13" s="13"/>
      <c r="QQ13" s="13"/>
      <c r="QR13" s="13"/>
      <c r="QS13" s="13"/>
      <c r="QT13" s="13"/>
      <c r="QU13" s="13"/>
      <c r="QV13" s="13"/>
      <c r="QW13" s="13"/>
      <c r="QX13" s="13"/>
      <c r="QY13" s="13"/>
      <c r="QZ13" s="13"/>
      <c r="RA13" s="13"/>
      <c r="RB13" s="13"/>
      <c r="RC13" s="13"/>
      <c r="RD13" s="13"/>
      <c r="RE13" s="13"/>
      <c r="RF13" s="13"/>
      <c r="RG13" s="13"/>
      <c r="RH13" s="13"/>
      <c r="RI13" s="13"/>
      <c r="RJ13" s="13"/>
      <c r="RK13" s="13"/>
      <c r="RL13" s="13"/>
      <c r="RM13" s="13"/>
      <c r="RN13" s="13"/>
      <c r="RO13" s="13"/>
      <c r="RP13" s="13"/>
      <c r="RQ13" s="13"/>
      <c r="RR13" s="13"/>
      <c r="RS13" s="13"/>
      <c r="RT13" s="13"/>
      <c r="RU13" s="13"/>
      <c r="RV13" s="13"/>
      <c r="RW13" s="13"/>
      <c r="RX13" s="13"/>
      <c r="RY13" s="13"/>
      <c r="RZ13" s="13"/>
      <c r="SA13" s="13"/>
      <c r="SB13" s="13"/>
      <c r="SC13" s="13"/>
      <c r="SD13" s="13"/>
      <c r="SE13" s="13"/>
      <c r="SF13" s="13"/>
      <c r="SG13" s="13"/>
      <c r="SH13" s="13"/>
      <c r="SI13" s="13"/>
      <c r="SJ13" s="13"/>
      <c r="SK13" s="13"/>
      <c r="SL13" s="13"/>
      <c r="SM13" s="13"/>
      <c r="SN13" s="13"/>
      <c r="SO13" s="13"/>
      <c r="SP13" s="13"/>
      <c r="SQ13" s="13"/>
      <c r="SR13" s="13"/>
      <c r="SS13" s="13"/>
      <c r="ST13" s="13"/>
      <c r="SU13" s="13"/>
      <c r="SV13" s="13"/>
      <c r="SW13" s="13"/>
      <c r="SX13" s="13"/>
      <c r="SY13" s="13"/>
      <c r="SZ13" s="13"/>
      <c r="TA13" s="13"/>
      <c r="TB13" s="13"/>
      <c r="TC13" s="13"/>
      <c r="TD13" s="13"/>
      <c r="TE13" s="13"/>
      <c r="TF13" s="13"/>
      <c r="TG13" s="13"/>
      <c r="TH13" s="13"/>
      <c r="TI13" s="13"/>
      <c r="TJ13" s="13"/>
      <c r="TK13" s="13"/>
      <c r="TL13" s="13"/>
      <c r="TM13" s="13"/>
      <c r="TN13" s="13"/>
      <c r="TO13" s="13"/>
      <c r="TP13" s="13"/>
      <c r="TQ13" s="13"/>
      <c r="TR13" s="13"/>
      <c r="TS13" s="13"/>
      <c r="TT13" s="13"/>
      <c r="TU13" s="13"/>
      <c r="TV13" s="13"/>
      <c r="TW13" s="13"/>
      <c r="TX13" s="13"/>
      <c r="TY13" s="13"/>
      <c r="TZ13" s="13"/>
      <c r="UA13" s="13"/>
      <c r="UB13" s="13"/>
      <c r="UC13" s="13"/>
      <c r="UD13" s="13"/>
      <c r="UE13" s="13"/>
      <c r="UF13" s="13"/>
      <c r="UG13" s="13"/>
      <c r="UH13" s="13"/>
      <c r="UI13" s="13"/>
      <c r="UJ13" s="13"/>
      <c r="UK13" s="13"/>
      <c r="UL13" s="13"/>
      <c r="UM13" s="13"/>
      <c r="UN13" s="13"/>
      <c r="UO13" s="13"/>
      <c r="UP13" s="13"/>
      <c r="UQ13" s="13"/>
      <c r="UR13" s="13"/>
      <c r="US13" s="13"/>
      <c r="UT13" s="13"/>
      <c r="UU13" s="13"/>
      <c r="UV13" s="13"/>
      <c r="UW13" s="13"/>
      <c r="UX13" s="13"/>
      <c r="UY13" s="13"/>
      <c r="UZ13" s="13"/>
      <c r="VA13" s="13"/>
      <c r="VB13" s="13"/>
      <c r="VC13" s="13"/>
      <c r="VD13" s="13"/>
      <c r="VE13" s="13"/>
      <c r="VF13" s="13"/>
      <c r="VG13" s="13"/>
      <c r="VH13" s="13"/>
      <c r="VI13" s="13"/>
      <c r="VJ13" s="13"/>
      <c r="VK13" s="13"/>
      <c r="VL13" s="13"/>
      <c r="VM13" s="13"/>
      <c r="VN13" s="13"/>
      <c r="VO13" s="13"/>
      <c r="VP13" s="13"/>
      <c r="VQ13" s="13"/>
      <c r="VR13" s="13"/>
      <c r="VS13" s="13"/>
      <c r="VT13" s="13"/>
      <c r="VU13" s="13"/>
      <c r="VV13" s="13"/>
      <c r="VW13" s="13"/>
      <c r="VX13" s="13"/>
      <c r="VY13" s="13"/>
      <c r="VZ13" s="13"/>
      <c r="WA13" s="13"/>
      <c r="WB13" s="13"/>
      <c r="WC13" s="13"/>
      <c r="WD13" s="13"/>
      <c r="WE13" s="13"/>
      <c r="WF13" s="13"/>
      <c r="WG13" s="13"/>
      <c r="WH13" s="13"/>
      <c r="WI13" s="13"/>
      <c r="WJ13" s="13"/>
      <c r="WK13" s="13"/>
      <c r="WL13" s="13"/>
      <c r="WM13" s="13"/>
      <c r="WN13" s="13"/>
      <c r="WO13" s="13"/>
      <c r="WP13" s="13"/>
      <c r="WQ13" s="13"/>
      <c r="WR13" s="13"/>
      <c r="WS13" s="13"/>
      <c r="WT13" s="13"/>
      <c r="WU13" s="13"/>
      <c r="WV13" s="13"/>
      <c r="WW13" s="13"/>
      <c r="WX13" s="13"/>
      <c r="WY13" s="13"/>
      <c r="WZ13" s="13"/>
      <c r="XA13" s="13"/>
      <c r="XB13" s="13"/>
      <c r="XC13" s="13"/>
      <c r="XD13" s="13"/>
      <c r="XE13" s="13"/>
      <c r="XF13" s="13"/>
      <c r="XG13" s="13"/>
      <c r="XH13" s="13"/>
      <c r="XI13" s="13"/>
      <c r="XJ13" s="13"/>
      <c r="XK13" s="13"/>
      <c r="XL13" s="13"/>
      <c r="XM13" s="13"/>
      <c r="XN13" s="13"/>
      <c r="XO13" s="13"/>
      <c r="XP13" s="13"/>
      <c r="XQ13" s="13"/>
      <c r="XR13" s="13"/>
      <c r="XS13" s="13"/>
      <c r="XT13" s="13"/>
      <c r="XU13" s="13"/>
      <c r="XV13" s="13"/>
      <c r="XW13" s="13"/>
      <c r="XX13" s="13"/>
      <c r="XY13" s="13"/>
      <c r="XZ13" s="13"/>
      <c r="YA13" s="13"/>
      <c r="YB13" s="13"/>
      <c r="YC13" s="13"/>
      <c r="YD13" s="13"/>
      <c r="YE13" s="13"/>
      <c r="YF13" s="13"/>
      <c r="YG13" s="13"/>
      <c r="YH13" s="13"/>
      <c r="YI13" s="13"/>
      <c r="YJ13" s="13"/>
      <c r="YK13" s="13"/>
      <c r="YL13" s="13"/>
      <c r="YM13" s="13"/>
      <c r="YN13" s="13"/>
      <c r="YO13" s="13"/>
      <c r="YP13" s="13"/>
      <c r="YQ13" s="13"/>
      <c r="YR13" s="13"/>
      <c r="YS13" s="13"/>
      <c r="YT13" s="13"/>
      <c r="YU13" s="13"/>
      <c r="YV13" s="13"/>
      <c r="YW13" s="13"/>
      <c r="YX13" s="13"/>
      <c r="YY13" s="13"/>
      <c r="YZ13" s="13"/>
      <c r="ZA13" s="13"/>
      <c r="ZB13" s="13"/>
      <c r="ZC13" s="13"/>
      <c r="ZD13" s="13"/>
      <c r="ZE13" s="13"/>
      <c r="ZF13" s="13"/>
      <c r="ZG13" s="13"/>
      <c r="ZH13" s="13"/>
      <c r="ZI13" s="13"/>
      <c r="ZJ13" s="13"/>
      <c r="ZK13" s="13"/>
      <c r="ZL13" s="13"/>
      <c r="ZM13" s="13"/>
      <c r="ZN13" s="13"/>
      <c r="ZO13" s="13"/>
      <c r="ZP13" s="13"/>
      <c r="ZQ13" s="13"/>
      <c r="ZR13" s="13"/>
      <c r="ZS13" s="13"/>
      <c r="ZT13" s="13"/>
      <c r="ZU13" s="13"/>
      <c r="ZV13" s="13"/>
      <c r="ZW13" s="13"/>
      <c r="ZX13" s="13"/>
      <c r="ZY13" s="13"/>
      <c r="ZZ13" s="13"/>
      <c r="AAA13" s="13"/>
      <c r="AAB13" s="13"/>
      <c r="AAC13" s="13"/>
      <c r="AAD13" s="13"/>
      <c r="AAE13" s="13"/>
      <c r="AAF13" s="13"/>
      <c r="AAG13" s="13"/>
      <c r="AAH13" s="13"/>
      <c r="AAI13" s="13"/>
      <c r="AAJ13" s="13"/>
      <c r="AAK13" s="13"/>
      <c r="AAL13" s="13"/>
      <c r="AAM13" s="13"/>
      <c r="AAN13" s="13"/>
      <c r="AAO13" s="13"/>
      <c r="AAP13" s="13"/>
      <c r="AAQ13" s="13"/>
      <c r="AAR13" s="13"/>
      <c r="AAS13" s="13"/>
      <c r="AAT13" s="13"/>
      <c r="AAU13" s="13"/>
      <c r="AAV13" s="13"/>
      <c r="AAW13" s="13"/>
      <c r="AAX13" s="13"/>
      <c r="AAY13" s="13"/>
      <c r="AAZ13" s="13"/>
      <c r="ABA13" s="13"/>
      <c r="ABB13" s="13"/>
      <c r="ABC13" s="13"/>
      <c r="ABD13" s="13"/>
      <c r="ABE13" s="13"/>
      <c r="ABF13" s="13"/>
      <c r="ABG13" s="13"/>
      <c r="ABH13" s="13"/>
      <c r="ABI13" s="13"/>
      <c r="ABJ13" s="13"/>
      <c r="ABK13" s="13"/>
      <c r="ABL13" s="13"/>
      <c r="ABM13" s="13"/>
      <c r="ABN13" s="13"/>
      <c r="ABO13" s="13"/>
      <c r="ABP13" s="13"/>
      <c r="ABQ13" s="13"/>
      <c r="ABR13" s="13"/>
      <c r="ABS13" s="13"/>
      <c r="ABT13" s="13"/>
      <c r="ABU13" s="13"/>
      <c r="ABV13" s="13"/>
      <c r="ABW13" s="13"/>
      <c r="ABX13" s="13"/>
      <c r="ABY13" s="13"/>
      <c r="ABZ13" s="13"/>
      <c r="ACA13" s="13"/>
      <c r="ACB13" s="13"/>
      <c r="ACC13" s="13"/>
      <c r="ACD13" s="13"/>
      <c r="ACE13" s="13"/>
      <c r="ACF13" s="13"/>
      <c r="ACG13" s="13"/>
      <c r="ACH13" s="13"/>
      <c r="ACI13" s="13"/>
      <c r="ACJ13" s="13"/>
      <c r="ACK13" s="13"/>
      <c r="ACL13" s="13"/>
      <c r="ACM13" s="13"/>
      <c r="ACN13" s="13"/>
      <c r="ACO13" s="13"/>
      <c r="ACP13" s="13"/>
      <c r="ACQ13" s="13"/>
      <c r="ACR13" s="13"/>
      <c r="ACS13" s="13"/>
      <c r="ACT13" s="13"/>
      <c r="ACU13" s="13"/>
      <c r="ACV13" s="13"/>
      <c r="ACW13" s="13"/>
      <c r="ACX13" s="13"/>
      <c r="ACY13" s="13"/>
      <c r="ACZ13" s="13"/>
      <c r="ADA13" s="13"/>
      <c r="ADB13" s="13"/>
      <c r="ADC13" s="13"/>
      <c r="ADD13" s="13"/>
      <c r="ADE13" s="13"/>
      <c r="ADF13" s="13"/>
      <c r="ADG13" s="13"/>
      <c r="ADH13" s="13"/>
      <c r="ADI13" s="13"/>
      <c r="ADJ13" s="13"/>
      <c r="ADK13" s="13"/>
      <c r="ADL13" s="13"/>
      <c r="ADM13" s="13"/>
      <c r="ADN13" s="13"/>
      <c r="ADO13" s="13"/>
      <c r="ADP13" s="13"/>
      <c r="ADQ13" s="13"/>
      <c r="ADR13" s="13"/>
      <c r="ADS13" s="13"/>
      <c r="ADT13" s="13"/>
      <c r="ADU13" s="13"/>
      <c r="ADV13" s="13"/>
      <c r="ADW13" s="13"/>
      <c r="ADX13" s="13"/>
      <c r="ADY13" s="13"/>
      <c r="ADZ13" s="13"/>
      <c r="AEA13" s="13"/>
      <c r="AEB13" s="13"/>
      <c r="AEC13" s="13"/>
      <c r="AED13" s="13"/>
      <c r="AEE13" s="13"/>
      <c r="AEF13" s="13"/>
      <c r="AEG13" s="13"/>
      <c r="AEH13" s="13"/>
      <c r="AEI13" s="13"/>
      <c r="AEJ13" s="13"/>
      <c r="AEK13" s="13"/>
      <c r="AEL13" s="13"/>
      <c r="AEM13" s="13"/>
      <c r="AEN13" s="13"/>
      <c r="AEO13" s="13"/>
      <c r="AEP13" s="13"/>
      <c r="AEQ13" s="13"/>
      <c r="AER13" s="13"/>
      <c r="AES13" s="13"/>
      <c r="AET13" s="13"/>
      <c r="AEU13" s="13"/>
      <c r="AEV13" s="13"/>
      <c r="AEW13" s="13"/>
      <c r="AEX13" s="13"/>
      <c r="AEY13" s="13"/>
      <c r="AEZ13" s="13"/>
      <c r="AFA13" s="13"/>
      <c r="AFB13" s="13"/>
      <c r="AFC13" s="13"/>
      <c r="AFD13" s="13"/>
      <c r="AFE13" s="13"/>
      <c r="AFF13" s="13"/>
      <c r="AFG13" s="13"/>
      <c r="AFH13" s="13"/>
      <c r="AFI13" s="13"/>
      <c r="AFJ13" s="13"/>
      <c r="AFK13" s="13"/>
      <c r="AFL13" s="13"/>
      <c r="AFM13" s="13"/>
      <c r="AFN13" s="13"/>
      <c r="AFO13" s="13"/>
      <c r="AFP13" s="13"/>
      <c r="AFQ13" s="13"/>
      <c r="AFR13" s="13"/>
      <c r="AFS13" s="13"/>
      <c r="AFT13" s="13"/>
      <c r="AFU13" s="13"/>
      <c r="AFV13" s="13"/>
      <c r="AFW13" s="13"/>
      <c r="AFX13" s="13"/>
      <c r="AFY13" s="13"/>
      <c r="AFZ13" s="13"/>
      <c r="AGA13" s="13"/>
      <c r="AGB13" s="13"/>
      <c r="AGC13" s="13"/>
      <c r="AGD13" s="13"/>
      <c r="AGE13" s="13"/>
      <c r="AGF13" s="13"/>
      <c r="AGG13" s="13"/>
      <c r="AGH13" s="13"/>
      <c r="AGI13" s="13"/>
      <c r="AGJ13" s="13"/>
      <c r="AGK13" s="13"/>
      <c r="AGL13" s="13"/>
      <c r="AGM13" s="13"/>
      <c r="AGN13" s="13"/>
      <c r="AGO13" s="13"/>
      <c r="AGP13" s="13"/>
      <c r="AGQ13" s="13"/>
      <c r="AGR13" s="13"/>
      <c r="AGS13" s="13"/>
      <c r="AGT13" s="13"/>
      <c r="AGU13" s="13"/>
      <c r="AGV13" s="13"/>
      <c r="AGW13" s="13"/>
      <c r="AGX13" s="13"/>
      <c r="AGY13" s="13"/>
      <c r="AGZ13" s="13"/>
      <c r="AHA13" s="13"/>
      <c r="AHB13" s="13"/>
      <c r="AHC13" s="13"/>
      <c r="AHD13" s="13"/>
      <c r="AHE13" s="13"/>
      <c r="AHF13" s="13"/>
      <c r="AHG13" s="13"/>
      <c r="AHH13" s="13"/>
      <c r="AHI13" s="13"/>
      <c r="AHJ13" s="13"/>
      <c r="AHK13" s="13"/>
      <c r="AHL13" s="13"/>
      <c r="AHM13" s="13"/>
      <c r="AHN13" s="13"/>
      <c r="AHO13" s="13"/>
      <c r="AHP13" s="13"/>
      <c r="AHQ13" s="13"/>
      <c r="AHR13" s="13"/>
      <c r="AHS13" s="13"/>
      <c r="AHT13" s="13"/>
      <c r="AHU13" s="13"/>
      <c r="AHV13" s="13"/>
      <c r="AHW13" s="13"/>
      <c r="AHX13" s="13"/>
      <c r="AHY13" s="13"/>
      <c r="AHZ13" s="13"/>
      <c r="AIA13" s="13"/>
      <c r="AIB13" s="13"/>
      <c r="AIC13" s="13"/>
      <c r="AID13" s="13"/>
      <c r="AIE13" s="13"/>
      <c r="AIF13" s="13"/>
      <c r="AIG13" s="13"/>
      <c r="AIH13" s="13"/>
      <c r="AII13" s="13"/>
      <c r="AIJ13" s="13"/>
      <c r="AIK13" s="13"/>
      <c r="AIL13" s="13"/>
      <c r="AIM13" s="13"/>
      <c r="AIN13" s="13"/>
      <c r="AIO13" s="13"/>
      <c r="AIP13" s="13"/>
      <c r="AIQ13" s="13"/>
      <c r="AIR13" s="13"/>
      <c r="AIS13" s="13"/>
      <c r="AIT13" s="13"/>
      <c r="AIU13" s="13"/>
      <c r="AIV13" s="13"/>
      <c r="AIW13" s="13"/>
      <c r="AIX13" s="13"/>
      <c r="AIY13" s="13"/>
      <c r="AIZ13" s="13"/>
      <c r="AJA13" s="13"/>
      <c r="AJB13" s="13"/>
      <c r="AJC13" s="13"/>
      <c r="AJD13" s="13"/>
      <c r="AJE13" s="13"/>
      <c r="AJF13" s="13"/>
      <c r="AJG13" s="13"/>
      <c r="AJH13" s="13"/>
      <c r="AJI13" s="13"/>
      <c r="AJJ13" s="13"/>
      <c r="AJK13" s="13"/>
      <c r="AJL13" s="13"/>
      <c r="AJM13" s="13"/>
      <c r="AJN13" s="13"/>
      <c r="AJO13" s="13"/>
      <c r="AJP13" s="13"/>
      <c r="AJQ13" s="13"/>
      <c r="AJR13" s="13"/>
      <c r="AJS13" s="13"/>
      <c r="AJT13" s="13"/>
      <c r="AJU13" s="13"/>
      <c r="AJV13" s="13"/>
      <c r="AJW13" s="13"/>
      <c r="AJX13" s="13"/>
      <c r="AJY13" s="13"/>
      <c r="AJZ13" s="13"/>
      <c r="AKA13" s="13"/>
      <c r="AKB13" s="13"/>
      <c r="AKC13" s="13"/>
      <c r="AKD13" s="13"/>
      <c r="AKE13" s="13"/>
      <c r="AKF13" s="13"/>
      <c r="AKG13" s="13"/>
      <c r="AKH13" s="13"/>
      <c r="AKI13" s="13"/>
      <c r="AKJ13" s="13"/>
      <c r="AKK13" s="13"/>
      <c r="AKL13" s="13"/>
      <c r="AKM13" s="13"/>
      <c r="AKN13" s="13"/>
      <c r="AKO13" s="13"/>
      <c r="AKP13" s="13"/>
      <c r="AKQ13" s="13"/>
      <c r="AKR13" s="13"/>
      <c r="AKS13" s="13"/>
      <c r="AKT13" s="13"/>
      <c r="AKU13" s="13"/>
      <c r="AKV13" s="13"/>
      <c r="AKW13" s="13"/>
      <c r="AKX13" s="13"/>
      <c r="AKY13" s="13"/>
      <c r="AKZ13" s="13"/>
      <c r="ALA13" s="13"/>
      <c r="ALB13" s="13"/>
      <c r="ALC13" s="13"/>
      <c r="ALD13" s="13"/>
      <c r="ALE13" s="13"/>
      <c r="ALF13" s="13"/>
      <c r="ALG13" s="13"/>
      <c r="ALH13" s="13"/>
      <c r="ALI13" s="13"/>
      <c r="ALJ13" s="13"/>
      <c r="ALK13" s="13"/>
      <c r="ALL13" s="13"/>
      <c r="ALM13" s="13"/>
      <c r="ALN13" s="13"/>
      <c r="ALO13" s="13"/>
    </row>
    <row r="14" spans="1:1003" x14ac:dyDescent="0.35">
      <c r="A14" s="1" t="s">
        <v>39</v>
      </c>
      <c r="C14" s="3"/>
      <c r="D14" s="3"/>
      <c r="E14" s="126">
        <f>SUM(E12:E13)</f>
        <v>125479.5</v>
      </c>
      <c r="F14" s="101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  <c r="MK14" s="13"/>
      <c r="ML14" s="13"/>
      <c r="MM14" s="13"/>
      <c r="MN14" s="13"/>
      <c r="MO14" s="13"/>
      <c r="MP14" s="13"/>
      <c r="MQ14" s="13"/>
      <c r="MR14" s="13"/>
      <c r="MS14" s="13"/>
      <c r="MT14" s="13"/>
      <c r="MU14" s="13"/>
      <c r="MV14" s="13"/>
      <c r="MW14" s="13"/>
      <c r="MX14" s="13"/>
      <c r="MY14" s="13"/>
      <c r="MZ14" s="13"/>
      <c r="NA14" s="13"/>
      <c r="NB14" s="13"/>
      <c r="NC14" s="13"/>
      <c r="ND14" s="13"/>
      <c r="NE14" s="13"/>
      <c r="NF14" s="13"/>
      <c r="NG14" s="13"/>
      <c r="NH14" s="13"/>
      <c r="NI14" s="13"/>
      <c r="NJ14" s="13"/>
      <c r="NK14" s="13"/>
      <c r="NL14" s="13"/>
      <c r="NM14" s="13"/>
      <c r="NN14" s="13"/>
      <c r="NO14" s="13"/>
      <c r="NP14" s="13"/>
      <c r="NQ14" s="13"/>
      <c r="NR14" s="13"/>
      <c r="NS14" s="13"/>
      <c r="NT14" s="13"/>
      <c r="NU14" s="13"/>
      <c r="NV14" s="13"/>
      <c r="NW14" s="13"/>
      <c r="NX14" s="13"/>
      <c r="NY14" s="13"/>
      <c r="NZ14" s="13"/>
      <c r="OA14" s="13"/>
      <c r="OB14" s="13"/>
      <c r="OC14" s="13"/>
      <c r="OD14" s="13"/>
      <c r="OE14" s="13"/>
      <c r="OF14" s="13"/>
      <c r="OG14" s="13"/>
      <c r="OH14" s="13"/>
      <c r="OI14" s="13"/>
      <c r="OJ14" s="13"/>
      <c r="OK14" s="13"/>
      <c r="OL14" s="13"/>
      <c r="OM14" s="13"/>
      <c r="ON14" s="13"/>
      <c r="OO14" s="13"/>
      <c r="OP14" s="13"/>
      <c r="OQ14" s="13"/>
      <c r="OR14" s="13"/>
      <c r="OS14" s="13"/>
      <c r="OT14" s="13"/>
      <c r="OU14" s="13"/>
      <c r="OV14" s="13"/>
      <c r="OW14" s="13"/>
      <c r="OX14" s="13"/>
      <c r="OY14" s="13"/>
      <c r="OZ14" s="13"/>
      <c r="PA14" s="13"/>
      <c r="PB14" s="13"/>
      <c r="PC14" s="13"/>
      <c r="PD14" s="13"/>
      <c r="PE14" s="13"/>
      <c r="PF14" s="13"/>
      <c r="PG14" s="13"/>
      <c r="PH14" s="13"/>
      <c r="PI14" s="13"/>
      <c r="PJ14" s="13"/>
      <c r="PK14" s="13"/>
      <c r="PL14" s="13"/>
      <c r="PM14" s="13"/>
      <c r="PN14" s="13"/>
      <c r="PO14" s="13"/>
      <c r="PP14" s="13"/>
      <c r="PQ14" s="13"/>
      <c r="PR14" s="13"/>
      <c r="PS14" s="13"/>
      <c r="PT14" s="13"/>
      <c r="PU14" s="13"/>
      <c r="PV14" s="13"/>
      <c r="PW14" s="13"/>
      <c r="PX14" s="13"/>
      <c r="PY14" s="13"/>
      <c r="PZ14" s="13"/>
      <c r="QA14" s="13"/>
      <c r="QB14" s="13"/>
      <c r="QC14" s="13"/>
      <c r="QD14" s="13"/>
      <c r="QE14" s="13"/>
      <c r="QF14" s="13"/>
      <c r="QG14" s="13"/>
      <c r="QH14" s="13"/>
      <c r="QI14" s="13"/>
      <c r="QJ14" s="13"/>
      <c r="QK14" s="13"/>
      <c r="QL14" s="13"/>
      <c r="QM14" s="13"/>
      <c r="QN14" s="13"/>
      <c r="QO14" s="13"/>
      <c r="QP14" s="13"/>
      <c r="QQ14" s="13"/>
      <c r="QR14" s="13"/>
      <c r="QS14" s="13"/>
      <c r="QT14" s="13"/>
      <c r="QU14" s="13"/>
      <c r="QV14" s="13"/>
      <c r="QW14" s="13"/>
      <c r="QX14" s="13"/>
      <c r="QY14" s="13"/>
      <c r="QZ14" s="13"/>
      <c r="RA14" s="13"/>
      <c r="RB14" s="13"/>
      <c r="RC14" s="13"/>
      <c r="RD14" s="13"/>
      <c r="RE14" s="13"/>
      <c r="RF14" s="13"/>
      <c r="RG14" s="13"/>
      <c r="RH14" s="13"/>
      <c r="RI14" s="13"/>
      <c r="RJ14" s="13"/>
      <c r="RK14" s="13"/>
      <c r="RL14" s="13"/>
      <c r="RM14" s="13"/>
      <c r="RN14" s="13"/>
      <c r="RO14" s="13"/>
      <c r="RP14" s="13"/>
      <c r="RQ14" s="13"/>
      <c r="RR14" s="13"/>
      <c r="RS14" s="13"/>
      <c r="RT14" s="13"/>
      <c r="RU14" s="13"/>
      <c r="RV14" s="13"/>
      <c r="RW14" s="13"/>
      <c r="RX14" s="13"/>
      <c r="RY14" s="13"/>
      <c r="RZ14" s="13"/>
      <c r="SA14" s="13"/>
      <c r="SB14" s="13"/>
      <c r="SC14" s="13"/>
      <c r="SD14" s="13"/>
      <c r="SE14" s="13"/>
      <c r="SF14" s="13"/>
      <c r="SG14" s="13"/>
      <c r="SH14" s="13"/>
      <c r="SI14" s="13"/>
      <c r="SJ14" s="13"/>
      <c r="SK14" s="13"/>
      <c r="SL14" s="13"/>
      <c r="SM14" s="13"/>
      <c r="SN14" s="13"/>
      <c r="SO14" s="13"/>
      <c r="SP14" s="13"/>
      <c r="SQ14" s="13"/>
      <c r="SR14" s="13"/>
      <c r="SS14" s="13"/>
      <c r="ST14" s="13"/>
      <c r="SU14" s="13"/>
      <c r="SV14" s="13"/>
      <c r="SW14" s="13"/>
      <c r="SX14" s="13"/>
      <c r="SY14" s="13"/>
      <c r="SZ14" s="13"/>
      <c r="TA14" s="13"/>
      <c r="TB14" s="13"/>
      <c r="TC14" s="13"/>
      <c r="TD14" s="13"/>
      <c r="TE14" s="13"/>
      <c r="TF14" s="13"/>
      <c r="TG14" s="13"/>
      <c r="TH14" s="13"/>
      <c r="TI14" s="13"/>
      <c r="TJ14" s="13"/>
      <c r="TK14" s="13"/>
      <c r="TL14" s="13"/>
      <c r="TM14" s="13"/>
      <c r="TN14" s="13"/>
      <c r="TO14" s="13"/>
      <c r="TP14" s="13"/>
      <c r="TQ14" s="13"/>
      <c r="TR14" s="13"/>
      <c r="TS14" s="13"/>
      <c r="TT14" s="13"/>
      <c r="TU14" s="13"/>
      <c r="TV14" s="13"/>
      <c r="TW14" s="13"/>
      <c r="TX14" s="13"/>
      <c r="TY14" s="13"/>
      <c r="TZ14" s="13"/>
      <c r="UA14" s="13"/>
      <c r="UB14" s="13"/>
      <c r="UC14" s="13"/>
      <c r="UD14" s="13"/>
      <c r="UE14" s="13"/>
      <c r="UF14" s="13"/>
      <c r="UG14" s="13"/>
      <c r="UH14" s="13"/>
      <c r="UI14" s="13"/>
      <c r="UJ14" s="13"/>
      <c r="UK14" s="13"/>
      <c r="UL14" s="13"/>
      <c r="UM14" s="13"/>
      <c r="UN14" s="13"/>
      <c r="UO14" s="13"/>
      <c r="UP14" s="13"/>
      <c r="UQ14" s="13"/>
      <c r="UR14" s="13"/>
      <c r="US14" s="13"/>
      <c r="UT14" s="13"/>
      <c r="UU14" s="13"/>
      <c r="UV14" s="13"/>
      <c r="UW14" s="13"/>
      <c r="UX14" s="13"/>
      <c r="UY14" s="13"/>
      <c r="UZ14" s="13"/>
      <c r="VA14" s="13"/>
      <c r="VB14" s="13"/>
      <c r="VC14" s="13"/>
      <c r="VD14" s="13"/>
      <c r="VE14" s="13"/>
      <c r="VF14" s="13"/>
      <c r="VG14" s="13"/>
      <c r="VH14" s="13"/>
      <c r="VI14" s="13"/>
      <c r="VJ14" s="13"/>
      <c r="VK14" s="13"/>
      <c r="VL14" s="13"/>
      <c r="VM14" s="13"/>
      <c r="VN14" s="13"/>
      <c r="VO14" s="13"/>
      <c r="VP14" s="13"/>
      <c r="VQ14" s="13"/>
      <c r="VR14" s="13"/>
      <c r="VS14" s="13"/>
      <c r="VT14" s="13"/>
      <c r="VU14" s="13"/>
      <c r="VV14" s="13"/>
      <c r="VW14" s="13"/>
      <c r="VX14" s="13"/>
      <c r="VY14" s="13"/>
      <c r="VZ14" s="13"/>
      <c r="WA14" s="13"/>
      <c r="WB14" s="13"/>
      <c r="WC14" s="13"/>
      <c r="WD14" s="13"/>
      <c r="WE14" s="13"/>
      <c r="WF14" s="13"/>
      <c r="WG14" s="13"/>
      <c r="WH14" s="13"/>
      <c r="WI14" s="13"/>
      <c r="WJ14" s="13"/>
      <c r="WK14" s="13"/>
      <c r="WL14" s="13"/>
      <c r="WM14" s="13"/>
      <c r="WN14" s="13"/>
      <c r="WO14" s="13"/>
      <c r="WP14" s="13"/>
      <c r="WQ14" s="13"/>
      <c r="WR14" s="13"/>
      <c r="WS14" s="13"/>
      <c r="WT14" s="13"/>
      <c r="WU14" s="13"/>
      <c r="WV14" s="13"/>
      <c r="WW14" s="13"/>
      <c r="WX14" s="13"/>
      <c r="WY14" s="13"/>
      <c r="WZ14" s="13"/>
      <c r="XA14" s="13"/>
      <c r="XB14" s="13"/>
      <c r="XC14" s="13"/>
      <c r="XD14" s="13"/>
      <c r="XE14" s="13"/>
      <c r="XF14" s="13"/>
      <c r="XG14" s="13"/>
      <c r="XH14" s="13"/>
      <c r="XI14" s="13"/>
      <c r="XJ14" s="13"/>
      <c r="XK14" s="13"/>
      <c r="XL14" s="13"/>
      <c r="XM14" s="13"/>
      <c r="XN14" s="13"/>
      <c r="XO14" s="13"/>
      <c r="XP14" s="13"/>
      <c r="XQ14" s="13"/>
      <c r="XR14" s="13"/>
      <c r="XS14" s="13"/>
      <c r="XT14" s="13"/>
      <c r="XU14" s="13"/>
      <c r="XV14" s="13"/>
      <c r="XW14" s="13"/>
      <c r="XX14" s="13"/>
      <c r="XY14" s="13"/>
      <c r="XZ14" s="13"/>
      <c r="YA14" s="13"/>
      <c r="YB14" s="13"/>
      <c r="YC14" s="13"/>
      <c r="YD14" s="13"/>
      <c r="YE14" s="13"/>
      <c r="YF14" s="13"/>
      <c r="YG14" s="13"/>
      <c r="YH14" s="13"/>
      <c r="YI14" s="13"/>
      <c r="YJ14" s="13"/>
      <c r="YK14" s="13"/>
      <c r="YL14" s="13"/>
      <c r="YM14" s="13"/>
      <c r="YN14" s="13"/>
      <c r="YO14" s="13"/>
      <c r="YP14" s="13"/>
      <c r="YQ14" s="13"/>
      <c r="YR14" s="13"/>
      <c r="YS14" s="13"/>
      <c r="YT14" s="13"/>
      <c r="YU14" s="13"/>
      <c r="YV14" s="13"/>
      <c r="YW14" s="13"/>
      <c r="YX14" s="13"/>
      <c r="YY14" s="13"/>
      <c r="YZ14" s="13"/>
      <c r="ZA14" s="13"/>
      <c r="ZB14" s="13"/>
      <c r="ZC14" s="13"/>
      <c r="ZD14" s="13"/>
      <c r="ZE14" s="13"/>
      <c r="ZF14" s="13"/>
      <c r="ZG14" s="13"/>
      <c r="ZH14" s="13"/>
      <c r="ZI14" s="13"/>
      <c r="ZJ14" s="13"/>
      <c r="ZK14" s="13"/>
      <c r="ZL14" s="13"/>
      <c r="ZM14" s="13"/>
      <c r="ZN14" s="13"/>
      <c r="ZO14" s="13"/>
      <c r="ZP14" s="13"/>
      <c r="ZQ14" s="13"/>
      <c r="ZR14" s="13"/>
      <c r="ZS14" s="13"/>
      <c r="ZT14" s="13"/>
      <c r="ZU14" s="13"/>
      <c r="ZV14" s="13"/>
      <c r="ZW14" s="13"/>
      <c r="ZX14" s="13"/>
      <c r="ZY14" s="13"/>
      <c r="ZZ14" s="13"/>
      <c r="AAA14" s="13"/>
      <c r="AAB14" s="13"/>
      <c r="AAC14" s="13"/>
      <c r="AAD14" s="13"/>
      <c r="AAE14" s="13"/>
      <c r="AAF14" s="13"/>
      <c r="AAG14" s="13"/>
      <c r="AAH14" s="13"/>
      <c r="AAI14" s="13"/>
      <c r="AAJ14" s="13"/>
      <c r="AAK14" s="13"/>
      <c r="AAL14" s="13"/>
      <c r="AAM14" s="13"/>
      <c r="AAN14" s="13"/>
      <c r="AAO14" s="13"/>
      <c r="AAP14" s="13"/>
      <c r="AAQ14" s="13"/>
      <c r="AAR14" s="13"/>
      <c r="AAS14" s="13"/>
      <c r="AAT14" s="13"/>
      <c r="AAU14" s="13"/>
      <c r="AAV14" s="13"/>
      <c r="AAW14" s="13"/>
      <c r="AAX14" s="13"/>
      <c r="AAY14" s="13"/>
      <c r="AAZ14" s="13"/>
      <c r="ABA14" s="13"/>
      <c r="ABB14" s="13"/>
      <c r="ABC14" s="13"/>
      <c r="ABD14" s="13"/>
      <c r="ABE14" s="13"/>
      <c r="ABF14" s="13"/>
      <c r="ABG14" s="13"/>
      <c r="ABH14" s="13"/>
      <c r="ABI14" s="13"/>
      <c r="ABJ14" s="13"/>
      <c r="ABK14" s="13"/>
      <c r="ABL14" s="13"/>
      <c r="ABM14" s="13"/>
      <c r="ABN14" s="13"/>
      <c r="ABO14" s="13"/>
      <c r="ABP14" s="13"/>
      <c r="ABQ14" s="13"/>
      <c r="ABR14" s="13"/>
      <c r="ABS14" s="13"/>
      <c r="ABT14" s="13"/>
      <c r="ABU14" s="13"/>
      <c r="ABV14" s="13"/>
      <c r="ABW14" s="13"/>
      <c r="ABX14" s="13"/>
      <c r="ABY14" s="13"/>
      <c r="ABZ14" s="13"/>
      <c r="ACA14" s="13"/>
      <c r="ACB14" s="13"/>
      <c r="ACC14" s="13"/>
      <c r="ACD14" s="13"/>
      <c r="ACE14" s="13"/>
      <c r="ACF14" s="13"/>
      <c r="ACG14" s="13"/>
      <c r="ACH14" s="13"/>
      <c r="ACI14" s="13"/>
      <c r="ACJ14" s="13"/>
      <c r="ACK14" s="13"/>
      <c r="ACL14" s="13"/>
      <c r="ACM14" s="13"/>
      <c r="ACN14" s="13"/>
      <c r="ACO14" s="13"/>
      <c r="ACP14" s="13"/>
      <c r="ACQ14" s="13"/>
      <c r="ACR14" s="13"/>
      <c r="ACS14" s="13"/>
      <c r="ACT14" s="13"/>
      <c r="ACU14" s="13"/>
      <c r="ACV14" s="13"/>
      <c r="ACW14" s="13"/>
      <c r="ACX14" s="13"/>
      <c r="ACY14" s="13"/>
      <c r="ACZ14" s="13"/>
      <c r="ADA14" s="13"/>
      <c r="ADB14" s="13"/>
      <c r="ADC14" s="13"/>
      <c r="ADD14" s="13"/>
      <c r="ADE14" s="13"/>
      <c r="ADF14" s="13"/>
      <c r="ADG14" s="13"/>
      <c r="ADH14" s="13"/>
      <c r="ADI14" s="13"/>
      <c r="ADJ14" s="13"/>
      <c r="ADK14" s="13"/>
      <c r="ADL14" s="13"/>
      <c r="ADM14" s="13"/>
      <c r="ADN14" s="13"/>
      <c r="ADO14" s="13"/>
      <c r="ADP14" s="13"/>
      <c r="ADQ14" s="13"/>
      <c r="ADR14" s="13"/>
      <c r="ADS14" s="13"/>
      <c r="ADT14" s="13"/>
      <c r="ADU14" s="13"/>
      <c r="ADV14" s="13"/>
      <c r="ADW14" s="13"/>
      <c r="ADX14" s="13"/>
      <c r="ADY14" s="13"/>
      <c r="ADZ14" s="13"/>
      <c r="AEA14" s="13"/>
      <c r="AEB14" s="13"/>
      <c r="AEC14" s="13"/>
      <c r="AED14" s="13"/>
      <c r="AEE14" s="13"/>
      <c r="AEF14" s="13"/>
      <c r="AEG14" s="13"/>
      <c r="AEH14" s="13"/>
      <c r="AEI14" s="13"/>
      <c r="AEJ14" s="13"/>
      <c r="AEK14" s="13"/>
      <c r="AEL14" s="13"/>
      <c r="AEM14" s="13"/>
      <c r="AEN14" s="13"/>
      <c r="AEO14" s="13"/>
      <c r="AEP14" s="13"/>
      <c r="AEQ14" s="13"/>
      <c r="AER14" s="13"/>
      <c r="AES14" s="13"/>
      <c r="AET14" s="13"/>
      <c r="AEU14" s="13"/>
      <c r="AEV14" s="13"/>
      <c r="AEW14" s="13"/>
      <c r="AEX14" s="13"/>
      <c r="AEY14" s="13"/>
      <c r="AEZ14" s="13"/>
      <c r="AFA14" s="13"/>
      <c r="AFB14" s="13"/>
      <c r="AFC14" s="13"/>
      <c r="AFD14" s="13"/>
      <c r="AFE14" s="13"/>
      <c r="AFF14" s="13"/>
      <c r="AFG14" s="13"/>
      <c r="AFH14" s="13"/>
      <c r="AFI14" s="13"/>
      <c r="AFJ14" s="13"/>
      <c r="AFK14" s="13"/>
      <c r="AFL14" s="13"/>
      <c r="AFM14" s="13"/>
      <c r="AFN14" s="13"/>
      <c r="AFO14" s="13"/>
      <c r="AFP14" s="13"/>
      <c r="AFQ14" s="13"/>
      <c r="AFR14" s="13"/>
      <c r="AFS14" s="13"/>
      <c r="AFT14" s="13"/>
      <c r="AFU14" s="13"/>
      <c r="AFV14" s="13"/>
      <c r="AFW14" s="13"/>
      <c r="AFX14" s="13"/>
      <c r="AFY14" s="13"/>
      <c r="AFZ14" s="13"/>
      <c r="AGA14" s="13"/>
      <c r="AGB14" s="13"/>
      <c r="AGC14" s="13"/>
      <c r="AGD14" s="13"/>
      <c r="AGE14" s="13"/>
      <c r="AGF14" s="13"/>
      <c r="AGG14" s="13"/>
      <c r="AGH14" s="13"/>
      <c r="AGI14" s="13"/>
      <c r="AGJ14" s="13"/>
      <c r="AGK14" s="13"/>
      <c r="AGL14" s="13"/>
      <c r="AGM14" s="13"/>
      <c r="AGN14" s="13"/>
      <c r="AGO14" s="13"/>
      <c r="AGP14" s="13"/>
      <c r="AGQ14" s="13"/>
      <c r="AGR14" s="13"/>
      <c r="AGS14" s="13"/>
      <c r="AGT14" s="13"/>
      <c r="AGU14" s="13"/>
      <c r="AGV14" s="13"/>
      <c r="AGW14" s="13"/>
      <c r="AGX14" s="13"/>
      <c r="AGY14" s="13"/>
      <c r="AGZ14" s="13"/>
      <c r="AHA14" s="13"/>
      <c r="AHB14" s="13"/>
      <c r="AHC14" s="13"/>
      <c r="AHD14" s="13"/>
      <c r="AHE14" s="13"/>
      <c r="AHF14" s="13"/>
      <c r="AHG14" s="13"/>
      <c r="AHH14" s="13"/>
      <c r="AHI14" s="13"/>
      <c r="AHJ14" s="13"/>
      <c r="AHK14" s="13"/>
      <c r="AHL14" s="13"/>
      <c r="AHM14" s="13"/>
      <c r="AHN14" s="13"/>
      <c r="AHO14" s="13"/>
      <c r="AHP14" s="13"/>
      <c r="AHQ14" s="13"/>
      <c r="AHR14" s="13"/>
      <c r="AHS14" s="13"/>
      <c r="AHT14" s="13"/>
      <c r="AHU14" s="13"/>
      <c r="AHV14" s="13"/>
      <c r="AHW14" s="13"/>
      <c r="AHX14" s="13"/>
      <c r="AHY14" s="13"/>
      <c r="AHZ14" s="13"/>
      <c r="AIA14" s="13"/>
      <c r="AIB14" s="13"/>
      <c r="AIC14" s="13"/>
      <c r="AID14" s="13"/>
      <c r="AIE14" s="13"/>
      <c r="AIF14" s="13"/>
      <c r="AIG14" s="13"/>
      <c r="AIH14" s="13"/>
      <c r="AII14" s="13"/>
      <c r="AIJ14" s="13"/>
      <c r="AIK14" s="13"/>
      <c r="AIL14" s="13"/>
      <c r="AIM14" s="13"/>
      <c r="AIN14" s="13"/>
      <c r="AIO14" s="13"/>
      <c r="AIP14" s="13"/>
      <c r="AIQ14" s="13"/>
      <c r="AIR14" s="13"/>
      <c r="AIS14" s="13"/>
      <c r="AIT14" s="13"/>
      <c r="AIU14" s="13"/>
      <c r="AIV14" s="13"/>
      <c r="AIW14" s="13"/>
      <c r="AIX14" s="13"/>
      <c r="AIY14" s="13"/>
      <c r="AIZ14" s="13"/>
      <c r="AJA14" s="13"/>
      <c r="AJB14" s="13"/>
      <c r="AJC14" s="13"/>
      <c r="AJD14" s="13"/>
      <c r="AJE14" s="13"/>
      <c r="AJF14" s="13"/>
      <c r="AJG14" s="13"/>
      <c r="AJH14" s="13"/>
      <c r="AJI14" s="13"/>
      <c r="AJJ14" s="13"/>
      <c r="AJK14" s="13"/>
      <c r="AJL14" s="13"/>
      <c r="AJM14" s="13"/>
      <c r="AJN14" s="13"/>
      <c r="AJO14" s="13"/>
      <c r="AJP14" s="13"/>
      <c r="AJQ14" s="13"/>
      <c r="AJR14" s="13"/>
      <c r="AJS14" s="13"/>
      <c r="AJT14" s="13"/>
      <c r="AJU14" s="13"/>
      <c r="AJV14" s="13"/>
      <c r="AJW14" s="13"/>
      <c r="AJX14" s="13"/>
      <c r="AJY14" s="13"/>
      <c r="AJZ14" s="13"/>
      <c r="AKA14" s="13"/>
      <c r="AKB14" s="13"/>
      <c r="AKC14" s="13"/>
      <c r="AKD14" s="13"/>
      <c r="AKE14" s="13"/>
      <c r="AKF14" s="13"/>
      <c r="AKG14" s="13"/>
      <c r="AKH14" s="13"/>
      <c r="AKI14" s="13"/>
      <c r="AKJ14" s="13"/>
      <c r="AKK14" s="13"/>
      <c r="AKL14" s="13"/>
      <c r="AKM14" s="13"/>
      <c r="AKN14" s="13"/>
      <c r="AKO14" s="13"/>
      <c r="AKP14" s="13"/>
      <c r="AKQ14" s="13"/>
      <c r="AKR14" s="13"/>
      <c r="AKS14" s="13"/>
      <c r="AKT14" s="13"/>
      <c r="AKU14" s="13"/>
      <c r="AKV14" s="13"/>
      <c r="AKW14" s="13"/>
      <c r="AKX14" s="13"/>
      <c r="AKY14" s="13"/>
      <c r="AKZ14" s="13"/>
      <c r="ALA14" s="13"/>
      <c r="ALB14" s="13"/>
      <c r="ALC14" s="13"/>
      <c r="ALD14" s="13"/>
      <c r="ALE14" s="13"/>
      <c r="ALF14" s="13"/>
      <c r="ALG14" s="13"/>
      <c r="ALH14" s="13"/>
      <c r="ALI14" s="13"/>
      <c r="ALJ14" s="13"/>
      <c r="ALK14" s="13"/>
      <c r="ALL14" s="13"/>
      <c r="ALM14" s="13"/>
      <c r="ALN14" s="13"/>
      <c r="ALO14" s="13"/>
    </row>
    <row r="15" spans="1:1003" ht="15" thickBot="1" x14ac:dyDescent="0.4">
      <c r="A15" s="1" t="s">
        <v>4</v>
      </c>
      <c r="B15" s="1"/>
      <c r="E15" s="127" t="e">
        <f>SUM(E14+E9)</f>
        <v>#REF!</v>
      </c>
      <c r="F15" s="101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  <c r="FW15" s="13"/>
      <c r="FX15" s="13"/>
      <c r="FY15" s="13"/>
      <c r="FZ15" s="13"/>
      <c r="GA15" s="13"/>
      <c r="GB15" s="13"/>
      <c r="GC15" s="13"/>
      <c r="GD15" s="13"/>
      <c r="GE15" s="13"/>
      <c r="GF15" s="13"/>
      <c r="GG15" s="13"/>
      <c r="GH15" s="13"/>
      <c r="GI15" s="13"/>
      <c r="GJ15" s="13"/>
      <c r="GK15" s="13"/>
      <c r="GL15" s="13"/>
      <c r="GM15" s="13"/>
      <c r="GN15" s="13"/>
      <c r="GO15" s="13"/>
      <c r="GP15" s="13"/>
      <c r="GQ15" s="13"/>
      <c r="GR15" s="13"/>
      <c r="GS15" s="13"/>
      <c r="GT15" s="13"/>
      <c r="GU15" s="13"/>
      <c r="GV15" s="13"/>
      <c r="GW15" s="13"/>
      <c r="GX15" s="13"/>
      <c r="GY15" s="13"/>
      <c r="GZ15" s="13"/>
      <c r="HA15" s="13"/>
      <c r="HB15" s="13"/>
      <c r="HC15" s="13"/>
      <c r="HD15" s="13"/>
      <c r="HE15" s="13"/>
      <c r="HF15" s="13"/>
      <c r="HG15" s="13"/>
      <c r="HH15" s="13"/>
      <c r="HI15" s="13"/>
      <c r="HJ15" s="13"/>
      <c r="HK15" s="13"/>
      <c r="HL15" s="13"/>
      <c r="HM15" s="13"/>
      <c r="HN15" s="13"/>
      <c r="HO15" s="13"/>
      <c r="HP15" s="13"/>
      <c r="HQ15" s="13"/>
      <c r="HR15" s="13"/>
      <c r="HS15" s="13"/>
      <c r="HT15" s="13"/>
      <c r="HU15" s="13"/>
      <c r="HV15" s="13"/>
      <c r="HW15" s="13"/>
      <c r="HX15" s="13"/>
      <c r="HY15" s="13"/>
      <c r="HZ15" s="13"/>
      <c r="IA15" s="13"/>
      <c r="IB15" s="13"/>
      <c r="IC15" s="13"/>
      <c r="ID15" s="13"/>
      <c r="IE15" s="13"/>
      <c r="IF15" s="13"/>
      <c r="IG15" s="13"/>
      <c r="IH15" s="13"/>
      <c r="II15" s="13"/>
      <c r="IJ15" s="13"/>
      <c r="IK15" s="13"/>
      <c r="IL15" s="13"/>
      <c r="IM15" s="13"/>
      <c r="IN15" s="13"/>
      <c r="IO15" s="13"/>
      <c r="IP15" s="13"/>
      <c r="IQ15" s="13"/>
      <c r="IR15" s="13"/>
      <c r="IS15" s="13"/>
      <c r="IT15" s="13"/>
      <c r="IU15" s="13"/>
      <c r="IV15" s="13"/>
      <c r="IW15" s="13"/>
      <c r="IX15" s="13"/>
      <c r="IY15" s="13"/>
      <c r="IZ15" s="13"/>
      <c r="JA15" s="13"/>
      <c r="JB15" s="13"/>
      <c r="JC15" s="13"/>
      <c r="JD15" s="13"/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3"/>
      <c r="KG15" s="13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3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3"/>
      <c r="MG15" s="13"/>
      <c r="MH15" s="13"/>
      <c r="MI15" s="13"/>
      <c r="MJ15" s="13"/>
      <c r="MK15" s="13"/>
      <c r="ML15" s="13"/>
      <c r="MM15" s="13"/>
      <c r="MN15" s="13"/>
      <c r="MO15" s="13"/>
      <c r="MP15" s="13"/>
      <c r="MQ15" s="13"/>
      <c r="MR15" s="13"/>
      <c r="MS15" s="13"/>
      <c r="MT15" s="13"/>
      <c r="MU15" s="13"/>
      <c r="MV15" s="13"/>
      <c r="MW15" s="13"/>
      <c r="MX15" s="13"/>
      <c r="MY15" s="13"/>
      <c r="MZ15" s="13"/>
      <c r="NA15" s="13"/>
      <c r="NB15" s="13"/>
      <c r="NC15" s="13"/>
      <c r="ND15" s="13"/>
      <c r="NE15" s="13"/>
      <c r="NF15" s="13"/>
      <c r="NG15" s="13"/>
      <c r="NH15" s="13"/>
      <c r="NI15" s="13"/>
      <c r="NJ15" s="13"/>
      <c r="NK15" s="13"/>
      <c r="NL15" s="13"/>
      <c r="NM15" s="13"/>
      <c r="NN15" s="13"/>
      <c r="NO15" s="13"/>
      <c r="NP15" s="13"/>
      <c r="NQ15" s="13"/>
      <c r="NR15" s="13"/>
      <c r="NS15" s="13"/>
      <c r="NT15" s="13"/>
      <c r="NU15" s="13"/>
      <c r="NV15" s="13"/>
      <c r="NW15" s="13"/>
      <c r="NX15" s="13"/>
      <c r="NY15" s="13"/>
      <c r="NZ15" s="13"/>
      <c r="OA15" s="13"/>
      <c r="OB15" s="13"/>
      <c r="OC15" s="13"/>
      <c r="OD15" s="13"/>
      <c r="OE15" s="13"/>
      <c r="OF15" s="13"/>
      <c r="OG15" s="13"/>
      <c r="OH15" s="13"/>
      <c r="OI15" s="13"/>
      <c r="OJ15" s="13"/>
      <c r="OK15" s="13"/>
      <c r="OL15" s="13"/>
      <c r="OM15" s="13"/>
      <c r="ON15" s="13"/>
      <c r="OO15" s="13"/>
      <c r="OP15" s="13"/>
      <c r="OQ15" s="13"/>
      <c r="OR15" s="13"/>
      <c r="OS15" s="13"/>
      <c r="OT15" s="13"/>
      <c r="OU15" s="13"/>
      <c r="OV15" s="13"/>
      <c r="OW15" s="13"/>
      <c r="OX15" s="13"/>
      <c r="OY15" s="13"/>
      <c r="OZ15" s="13"/>
      <c r="PA15" s="13"/>
      <c r="PB15" s="13"/>
      <c r="PC15" s="13"/>
      <c r="PD15" s="13"/>
      <c r="PE15" s="13"/>
      <c r="PF15" s="13"/>
      <c r="PG15" s="13"/>
      <c r="PH15" s="13"/>
      <c r="PI15" s="13"/>
      <c r="PJ15" s="13"/>
      <c r="PK15" s="13"/>
      <c r="PL15" s="13"/>
      <c r="PM15" s="13"/>
      <c r="PN15" s="13"/>
      <c r="PO15" s="13"/>
      <c r="PP15" s="13"/>
      <c r="PQ15" s="13"/>
      <c r="PR15" s="13"/>
      <c r="PS15" s="13"/>
      <c r="PT15" s="13"/>
      <c r="PU15" s="13"/>
      <c r="PV15" s="13"/>
      <c r="PW15" s="13"/>
      <c r="PX15" s="13"/>
      <c r="PY15" s="13"/>
      <c r="PZ15" s="13"/>
      <c r="QA15" s="13"/>
      <c r="QB15" s="13"/>
      <c r="QC15" s="13"/>
      <c r="QD15" s="13"/>
      <c r="QE15" s="13"/>
      <c r="QF15" s="13"/>
      <c r="QG15" s="13"/>
      <c r="QH15" s="13"/>
      <c r="QI15" s="13"/>
      <c r="QJ15" s="13"/>
      <c r="QK15" s="13"/>
      <c r="QL15" s="13"/>
      <c r="QM15" s="13"/>
      <c r="QN15" s="13"/>
      <c r="QO15" s="13"/>
      <c r="QP15" s="13"/>
      <c r="QQ15" s="13"/>
      <c r="QR15" s="13"/>
      <c r="QS15" s="13"/>
      <c r="QT15" s="13"/>
      <c r="QU15" s="13"/>
      <c r="QV15" s="13"/>
      <c r="QW15" s="13"/>
      <c r="QX15" s="13"/>
      <c r="QY15" s="13"/>
      <c r="QZ15" s="13"/>
      <c r="RA15" s="13"/>
      <c r="RB15" s="13"/>
      <c r="RC15" s="13"/>
      <c r="RD15" s="13"/>
      <c r="RE15" s="13"/>
      <c r="RF15" s="13"/>
      <c r="RG15" s="13"/>
      <c r="RH15" s="13"/>
      <c r="RI15" s="13"/>
      <c r="RJ15" s="13"/>
      <c r="RK15" s="13"/>
      <c r="RL15" s="13"/>
      <c r="RM15" s="13"/>
      <c r="RN15" s="13"/>
      <c r="RO15" s="13"/>
      <c r="RP15" s="13"/>
      <c r="RQ15" s="13"/>
      <c r="RR15" s="13"/>
      <c r="RS15" s="13"/>
      <c r="RT15" s="13"/>
      <c r="RU15" s="13"/>
      <c r="RV15" s="13"/>
      <c r="RW15" s="13"/>
      <c r="RX15" s="13"/>
      <c r="RY15" s="13"/>
      <c r="RZ15" s="13"/>
      <c r="SA15" s="13"/>
      <c r="SB15" s="13"/>
      <c r="SC15" s="13"/>
      <c r="SD15" s="13"/>
      <c r="SE15" s="13"/>
      <c r="SF15" s="13"/>
      <c r="SG15" s="13"/>
      <c r="SH15" s="13"/>
      <c r="SI15" s="13"/>
      <c r="SJ15" s="13"/>
      <c r="SK15" s="13"/>
      <c r="SL15" s="13"/>
      <c r="SM15" s="13"/>
      <c r="SN15" s="13"/>
      <c r="SO15" s="13"/>
      <c r="SP15" s="13"/>
      <c r="SQ15" s="13"/>
      <c r="SR15" s="13"/>
      <c r="SS15" s="13"/>
      <c r="ST15" s="13"/>
      <c r="SU15" s="13"/>
      <c r="SV15" s="13"/>
      <c r="SW15" s="13"/>
      <c r="SX15" s="13"/>
      <c r="SY15" s="13"/>
      <c r="SZ15" s="13"/>
      <c r="TA15" s="13"/>
      <c r="TB15" s="13"/>
      <c r="TC15" s="13"/>
      <c r="TD15" s="13"/>
      <c r="TE15" s="13"/>
      <c r="TF15" s="13"/>
      <c r="TG15" s="13"/>
      <c r="TH15" s="13"/>
      <c r="TI15" s="13"/>
      <c r="TJ15" s="13"/>
      <c r="TK15" s="13"/>
      <c r="TL15" s="13"/>
      <c r="TM15" s="13"/>
      <c r="TN15" s="13"/>
      <c r="TO15" s="13"/>
      <c r="TP15" s="13"/>
      <c r="TQ15" s="13"/>
      <c r="TR15" s="13"/>
      <c r="TS15" s="13"/>
      <c r="TT15" s="13"/>
      <c r="TU15" s="13"/>
      <c r="TV15" s="13"/>
      <c r="TW15" s="13"/>
      <c r="TX15" s="13"/>
      <c r="TY15" s="13"/>
      <c r="TZ15" s="13"/>
      <c r="UA15" s="13"/>
      <c r="UB15" s="13"/>
      <c r="UC15" s="13"/>
      <c r="UD15" s="13"/>
      <c r="UE15" s="13"/>
      <c r="UF15" s="13"/>
      <c r="UG15" s="13"/>
      <c r="UH15" s="13"/>
      <c r="UI15" s="13"/>
      <c r="UJ15" s="13"/>
      <c r="UK15" s="13"/>
      <c r="UL15" s="13"/>
      <c r="UM15" s="13"/>
      <c r="UN15" s="13"/>
      <c r="UO15" s="13"/>
      <c r="UP15" s="13"/>
      <c r="UQ15" s="13"/>
      <c r="UR15" s="13"/>
      <c r="US15" s="13"/>
      <c r="UT15" s="13"/>
      <c r="UU15" s="13"/>
      <c r="UV15" s="13"/>
      <c r="UW15" s="13"/>
      <c r="UX15" s="13"/>
      <c r="UY15" s="13"/>
      <c r="UZ15" s="13"/>
      <c r="VA15" s="13"/>
      <c r="VB15" s="13"/>
      <c r="VC15" s="13"/>
      <c r="VD15" s="13"/>
      <c r="VE15" s="13"/>
      <c r="VF15" s="13"/>
      <c r="VG15" s="13"/>
      <c r="VH15" s="13"/>
      <c r="VI15" s="13"/>
      <c r="VJ15" s="13"/>
      <c r="VK15" s="13"/>
      <c r="VL15" s="13"/>
      <c r="VM15" s="13"/>
      <c r="VN15" s="13"/>
      <c r="VO15" s="13"/>
      <c r="VP15" s="13"/>
      <c r="VQ15" s="13"/>
      <c r="VR15" s="13"/>
      <c r="VS15" s="13"/>
      <c r="VT15" s="13"/>
      <c r="VU15" s="13"/>
      <c r="VV15" s="13"/>
      <c r="VW15" s="13"/>
      <c r="VX15" s="13"/>
      <c r="VY15" s="13"/>
      <c r="VZ15" s="13"/>
      <c r="WA15" s="13"/>
      <c r="WB15" s="13"/>
      <c r="WC15" s="13"/>
      <c r="WD15" s="13"/>
      <c r="WE15" s="13"/>
      <c r="WF15" s="13"/>
      <c r="WG15" s="13"/>
      <c r="WH15" s="13"/>
      <c r="WI15" s="13"/>
      <c r="WJ15" s="13"/>
      <c r="WK15" s="13"/>
      <c r="WL15" s="13"/>
      <c r="WM15" s="13"/>
      <c r="WN15" s="13"/>
      <c r="WO15" s="13"/>
      <c r="WP15" s="13"/>
      <c r="WQ15" s="13"/>
      <c r="WR15" s="13"/>
      <c r="WS15" s="13"/>
      <c r="WT15" s="13"/>
      <c r="WU15" s="13"/>
      <c r="WV15" s="13"/>
      <c r="WW15" s="13"/>
      <c r="WX15" s="13"/>
      <c r="WY15" s="13"/>
      <c r="WZ15" s="13"/>
      <c r="XA15" s="13"/>
      <c r="XB15" s="13"/>
      <c r="XC15" s="13"/>
      <c r="XD15" s="13"/>
      <c r="XE15" s="13"/>
      <c r="XF15" s="13"/>
      <c r="XG15" s="13"/>
      <c r="XH15" s="13"/>
      <c r="XI15" s="13"/>
      <c r="XJ15" s="13"/>
      <c r="XK15" s="13"/>
      <c r="XL15" s="13"/>
      <c r="XM15" s="13"/>
      <c r="XN15" s="13"/>
      <c r="XO15" s="13"/>
      <c r="XP15" s="13"/>
      <c r="XQ15" s="13"/>
      <c r="XR15" s="13"/>
      <c r="XS15" s="13"/>
      <c r="XT15" s="13"/>
      <c r="XU15" s="13"/>
      <c r="XV15" s="13"/>
      <c r="XW15" s="13"/>
      <c r="XX15" s="13"/>
      <c r="XY15" s="13"/>
      <c r="XZ15" s="13"/>
      <c r="YA15" s="13"/>
      <c r="YB15" s="13"/>
      <c r="YC15" s="13"/>
      <c r="YD15" s="13"/>
      <c r="YE15" s="13"/>
      <c r="YF15" s="13"/>
      <c r="YG15" s="13"/>
      <c r="YH15" s="13"/>
      <c r="YI15" s="13"/>
      <c r="YJ15" s="13"/>
      <c r="YK15" s="13"/>
      <c r="YL15" s="13"/>
      <c r="YM15" s="13"/>
      <c r="YN15" s="13"/>
      <c r="YO15" s="13"/>
      <c r="YP15" s="13"/>
      <c r="YQ15" s="13"/>
      <c r="YR15" s="13"/>
      <c r="YS15" s="13"/>
      <c r="YT15" s="13"/>
      <c r="YU15" s="13"/>
      <c r="YV15" s="13"/>
      <c r="YW15" s="13"/>
      <c r="YX15" s="13"/>
      <c r="YY15" s="13"/>
      <c r="YZ15" s="13"/>
      <c r="ZA15" s="13"/>
      <c r="ZB15" s="13"/>
      <c r="ZC15" s="13"/>
      <c r="ZD15" s="13"/>
      <c r="ZE15" s="13"/>
      <c r="ZF15" s="13"/>
      <c r="ZG15" s="13"/>
      <c r="ZH15" s="13"/>
      <c r="ZI15" s="13"/>
      <c r="ZJ15" s="13"/>
      <c r="ZK15" s="13"/>
      <c r="ZL15" s="13"/>
      <c r="ZM15" s="13"/>
      <c r="ZN15" s="13"/>
      <c r="ZO15" s="13"/>
      <c r="ZP15" s="13"/>
      <c r="ZQ15" s="13"/>
      <c r="ZR15" s="13"/>
      <c r="ZS15" s="13"/>
      <c r="ZT15" s="13"/>
      <c r="ZU15" s="13"/>
      <c r="ZV15" s="13"/>
      <c r="ZW15" s="13"/>
      <c r="ZX15" s="13"/>
      <c r="ZY15" s="13"/>
      <c r="ZZ15" s="13"/>
      <c r="AAA15" s="13"/>
      <c r="AAB15" s="13"/>
      <c r="AAC15" s="13"/>
      <c r="AAD15" s="13"/>
      <c r="AAE15" s="13"/>
      <c r="AAF15" s="13"/>
      <c r="AAG15" s="13"/>
      <c r="AAH15" s="13"/>
      <c r="AAI15" s="13"/>
      <c r="AAJ15" s="13"/>
      <c r="AAK15" s="13"/>
      <c r="AAL15" s="13"/>
      <c r="AAM15" s="13"/>
      <c r="AAN15" s="13"/>
      <c r="AAO15" s="13"/>
      <c r="AAP15" s="13"/>
      <c r="AAQ15" s="13"/>
      <c r="AAR15" s="13"/>
      <c r="AAS15" s="13"/>
      <c r="AAT15" s="13"/>
      <c r="AAU15" s="13"/>
      <c r="AAV15" s="13"/>
      <c r="AAW15" s="13"/>
      <c r="AAX15" s="13"/>
      <c r="AAY15" s="13"/>
      <c r="AAZ15" s="13"/>
      <c r="ABA15" s="13"/>
      <c r="ABB15" s="13"/>
      <c r="ABC15" s="13"/>
      <c r="ABD15" s="13"/>
      <c r="ABE15" s="13"/>
      <c r="ABF15" s="13"/>
      <c r="ABG15" s="13"/>
      <c r="ABH15" s="13"/>
      <c r="ABI15" s="13"/>
      <c r="ABJ15" s="13"/>
      <c r="ABK15" s="13"/>
      <c r="ABL15" s="13"/>
      <c r="ABM15" s="13"/>
      <c r="ABN15" s="13"/>
      <c r="ABO15" s="13"/>
      <c r="ABP15" s="13"/>
      <c r="ABQ15" s="13"/>
      <c r="ABR15" s="13"/>
      <c r="ABS15" s="13"/>
      <c r="ABT15" s="13"/>
      <c r="ABU15" s="13"/>
      <c r="ABV15" s="13"/>
      <c r="ABW15" s="13"/>
      <c r="ABX15" s="13"/>
      <c r="ABY15" s="13"/>
      <c r="ABZ15" s="13"/>
      <c r="ACA15" s="13"/>
      <c r="ACB15" s="13"/>
      <c r="ACC15" s="13"/>
      <c r="ACD15" s="13"/>
      <c r="ACE15" s="13"/>
      <c r="ACF15" s="13"/>
      <c r="ACG15" s="13"/>
      <c r="ACH15" s="13"/>
      <c r="ACI15" s="13"/>
      <c r="ACJ15" s="13"/>
      <c r="ACK15" s="13"/>
      <c r="ACL15" s="13"/>
      <c r="ACM15" s="13"/>
      <c r="ACN15" s="13"/>
      <c r="ACO15" s="13"/>
      <c r="ACP15" s="13"/>
      <c r="ACQ15" s="13"/>
      <c r="ACR15" s="13"/>
      <c r="ACS15" s="13"/>
      <c r="ACT15" s="13"/>
      <c r="ACU15" s="13"/>
      <c r="ACV15" s="13"/>
      <c r="ACW15" s="13"/>
      <c r="ACX15" s="13"/>
      <c r="ACY15" s="13"/>
      <c r="ACZ15" s="13"/>
      <c r="ADA15" s="13"/>
      <c r="ADB15" s="13"/>
      <c r="ADC15" s="13"/>
      <c r="ADD15" s="13"/>
      <c r="ADE15" s="13"/>
      <c r="ADF15" s="13"/>
      <c r="ADG15" s="13"/>
      <c r="ADH15" s="13"/>
      <c r="ADI15" s="13"/>
      <c r="ADJ15" s="13"/>
      <c r="ADK15" s="13"/>
      <c r="ADL15" s="13"/>
      <c r="ADM15" s="13"/>
      <c r="ADN15" s="13"/>
      <c r="ADO15" s="13"/>
      <c r="ADP15" s="13"/>
      <c r="ADQ15" s="13"/>
      <c r="ADR15" s="13"/>
      <c r="ADS15" s="13"/>
      <c r="ADT15" s="13"/>
      <c r="ADU15" s="13"/>
      <c r="ADV15" s="13"/>
      <c r="ADW15" s="13"/>
      <c r="ADX15" s="13"/>
      <c r="ADY15" s="13"/>
      <c r="ADZ15" s="13"/>
      <c r="AEA15" s="13"/>
      <c r="AEB15" s="13"/>
      <c r="AEC15" s="13"/>
      <c r="AED15" s="13"/>
      <c r="AEE15" s="13"/>
      <c r="AEF15" s="13"/>
      <c r="AEG15" s="13"/>
      <c r="AEH15" s="13"/>
      <c r="AEI15" s="13"/>
      <c r="AEJ15" s="13"/>
      <c r="AEK15" s="13"/>
      <c r="AEL15" s="13"/>
      <c r="AEM15" s="13"/>
      <c r="AEN15" s="13"/>
      <c r="AEO15" s="13"/>
      <c r="AEP15" s="13"/>
      <c r="AEQ15" s="13"/>
      <c r="AER15" s="13"/>
      <c r="AES15" s="13"/>
      <c r="AET15" s="13"/>
      <c r="AEU15" s="13"/>
      <c r="AEV15" s="13"/>
      <c r="AEW15" s="13"/>
      <c r="AEX15" s="13"/>
      <c r="AEY15" s="13"/>
      <c r="AEZ15" s="13"/>
      <c r="AFA15" s="13"/>
      <c r="AFB15" s="13"/>
      <c r="AFC15" s="13"/>
      <c r="AFD15" s="13"/>
      <c r="AFE15" s="13"/>
      <c r="AFF15" s="13"/>
      <c r="AFG15" s="13"/>
      <c r="AFH15" s="13"/>
      <c r="AFI15" s="13"/>
      <c r="AFJ15" s="13"/>
      <c r="AFK15" s="13"/>
      <c r="AFL15" s="13"/>
      <c r="AFM15" s="13"/>
      <c r="AFN15" s="13"/>
      <c r="AFO15" s="13"/>
      <c r="AFP15" s="13"/>
      <c r="AFQ15" s="13"/>
      <c r="AFR15" s="13"/>
      <c r="AFS15" s="13"/>
      <c r="AFT15" s="13"/>
      <c r="AFU15" s="13"/>
      <c r="AFV15" s="13"/>
      <c r="AFW15" s="13"/>
      <c r="AFX15" s="13"/>
      <c r="AFY15" s="13"/>
      <c r="AFZ15" s="13"/>
      <c r="AGA15" s="13"/>
      <c r="AGB15" s="13"/>
      <c r="AGC15" s="13"/>
      <c r="AGD15" s="13"/>
      <c r="AGE15" s="13"/>
      <c r="AGF15" s="13"/>
      <c r="AGG15" s="13"/>
      <c r="AGH15" s="13"/>
      <c r="AGI15" s="13"/>
      <c r="AGJ15" s="13"/>
      <c r="AGK15" s="13"/>
      <c r="AGL15" s="13"/>
      <c r="AGM15" s="13"/>
      <c r="AGN15" s="13"/>
      <c r="AGO15" s="13"/>
      <c r="AGP15" s="13"/>
      <c r="AGQ15" s="13"/>
      <c r="AGR15" s="13"/>
      <c r="AGS15" s="13"/>
      <c r="AGT15" s="13"/>
      <c r="AGU15" s="13"/>
      <c r="AGV15" s="13"/>
      <c r="AGW15" s="13"/>
      <c r="AGX15" s="13"/>
      <c r="AGY15" s="13"/>
      <c r="AGZ15" s="13"/>
      <c r="AHA15" s="13"/>
      <c r="AHB15" s="13"/>
      <c r="AHC15" s="13"/>
      <c r="AHD15" s="13"/>
      <c r="AHE15" s="13"/>
      <c r="AHF15" s="13"/>
      <c r="AHG15" s="13"/>
      <c r="AHH15" s="13"/>
      <c r="AHI15" s="13"/>
      <c r="AHJ15" s="13"/>
      <c r="AHK15" s="13"/>
      <c r="AHL15" s="13"/>
      <c r="AHM15" s="13"/>
      <c r="AHN15" s="13"/>
      <c r="AHO15" s="13"/>
      <c r="AHP15" s="13"/>
      <c r="AHQ15" s="13"/>
      <c r="AHR15" s="13"/>
      <c r="AHS15" s="13"/>
      <c r="AHT15" s="13"/>
      <c r="AHU15" s="13"/>
      <c r="AHV15" s="13"/>
      <c r="AHW15" s="13"/>
      <c r="AHX15" s="13"/>
      <c r="AHY15" s="13"/>
      <c r="AHZ15" s="13"/>
      <c r="AIA15" s="13"/>
      <c r="AIB15" s="13"/>
      <c r="AIC15" s="13"/>
      <c r="AID15" s="13"/>
      <c r="AIE15" s="13"/>
      <c r="AIF15" s="13"/>
      <c r="AIG15" s="13"/>
      <c r="AIH15" s="13"/>
      <c r="AII15" s="13"/>
      <c r="AIJ15" s="13"/>
      <c r="AIK15" s="13"/>
      <c r="AIL15" s="13"/>
      <c r="AIM15" s="13"/>
      <c r="AIN15" s="13"/>
      <c r="AIO15" s="13"/>
      <c r="AIP15" s="13"/>
      <c r="AIQ15" s="13"/>
      <c r="AIR15" s="13"/>
      <c r="AIS15" s="13"/>
      <c r="AIT15" s="13"/>
      <c r="AIU15" s="13"/>
      <c r="AIV15" s="13"/>
      <c r="AIW15" s="13"/>
      <c r="AIX15" s="13"/>
      <c r="AIY15" s="13"/>
      <c r="AIZ15" s="13"/>
      <c r="AJA15" s="13"/>
      <c r="AJB15" s="13"/>
      <c r="AJC15" s="13"/>
      <c r="AJD15" s="13"/>
      <c r="AJE15" s="13"/>
      <c r="AJF15" s="13"/>
      <c r="AJG15" s="13"/>
      <c r="AJH15" s="13"/>
      <c r="AJI15" s="13"/>
      <c r="AJJ15" s="13"/>
      <c r="AJK15" s="13"/>
      <c r="AJL15" s="13"/>
      <c r="AJM15" s="13"/>
      <c r="AJN15" s="13"/>
      <c r="AJO15" s="13"/>
      <c r="AJP15" s="13"/>
      <c r="AJQ15" s="13"/>
      <c r="AJR15" s="13"/>
      <c r="AJS15" s="13"/>
      <c r="AJT15" s="13"/>
      <c r="AJU15" s="13"/>
      <c r="AJV15" s="13"/>
      <c r="AJW15" s="13"/>
      <c r="AJX15" s="13"/>
      <c r="AJY15" s="13"/>
      <c r="AJZ15" s="13"/>
      <c r="AKA15" s="13"/>
      <c r="AKB15" s="13"/>
      <c r="AKC15" s="13"/>
      <c r="AKD15" s="13"/>
      <c r="AKE15" s="13"/>
      <c r="AKF15" s="13"/>
      <c r="AKG15" s="13"/>
      <c r="AKH15" s="13"/>
      <c r="AKI15" s="13"/>
      <c r="AKJ15" s="13"/>
      <c r="AKK15" s="13"/>
      <c r="AKL15" s="13"/>
      <c r="AKM15" s="13"/>
      <c r="AKN15" s="13"/>
      <c r="AKO15" s="13"/>
      <c r="AKP15" s="13"/>
      <c r="AKQ15" s="13"/>
      <c r="AKR15" s="13"/>
      <c r="AKS15" s="13"/>
      <c r="AKT15" s="13"/>
      <c r="AKU15" s="13"/>
      <c r="AKV15" s="13"/>
      <c r="AKW15" s="13"/>
      <c r="AKX15" s="13"/>
      <c r="AKY15" s="13"/>
      <c r="AKZ15" s="13"/>
      <c r="ALA15" s="13"/>
      <c r="ALB15" s="13"/>
      <c r="ALC15" s="13"/>
      <c r="ALD15" s="13"/>
      <c r="ALE15" s="13"/>
      <c r="ALF15" s="13"/>
      <c r="ALG15" s="13"/>
      <c r="ALH15" s="13"/>
      <c r="ALI15" s="13"/>
      <c r="ALJ15" s="13"/>
      <c r="ALK15" s="13"/>
      <c r="ALL15" s="13"/>
      <c r="ALM15" s="13"/>
      <c r="ALN15" s="13"/>
      <c r="ALO15" s="13"/>
    </row>
    <row r="16" spans="1:1003" ht="15" thickTop="1" x14ac:dyDescent="0.35">
      <c r="E16" s="121"/>
      <c r="F16" s="144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13"/>
      <c r="GT16" s="13"/>
      <c r="GU16" s="13"/>
      <c r="GV16" s="13"/>
      <c r="GW16" s="13"/>
      <c r="GX16" s="13"/>
      <c r="GY16" s="13"/>
      <c r="GZ16" s="13"/>
      <c r="HA16" s="13"/>
      <c r="HB16" s="13"/>
      <c r="HC16" s="13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13"/>
      <c r="HP16" s="13"/>
      <c r="HQ16" s="13"/>
      <c r="HR16" s="13"/>
      <c r="HS16" s="13"/>
      <c r="HT16" s="13"/>
      <c r="HU16" s="13"/>
      <c r="HV16" s="13"/>
      <c r="HW16" s="13"/>
      <c r="HX16" s="13"/>
      <c r="HY16" s="13"/>
      <c r="HZ16" s="13"/>
      <c r="IA16" s="13"/>
      <c r="IB16" s="13"/>
      <c r="IC16" s="13"/>
      <c r="ID16" s="13"/>
      <c r="IE16" s="13"/>
      <c r="IF16" s="13"/>
      <c r="IG16" s="13"/>
      <c r="IH16" s="13"/>
      <c r="II16" s="13"/>
      <c r="IJ16" s="13"/>
      <c r="IK16" s="13"/>
      <c r="IL16" s="13"/>
      <c r="IM16" s="13"/>
      <c r="IN16" s="13"/>
      <c r="IO16" s="13"/>
      <c r="IP16" s="13"/>
      <c r="IQ16" s="13"/>
      <c r="IR16" s="13"/>
      <c r="IS16" s="13"/>
      <c r="IT16" s="13"/>
      <c r="IU16" s="13"/>
      <c r="IV16" s="13"/>
      <c r="IW16" s="13"/>
      <c r="IX16" s="13"/>
      <c r="IY16" s="13"/>
      <c r="IZ16" s="13"/>
      <c r="JA16" s="13"/>
      <c r="JB16" s="13"/>
      <c r="JC16" s="13"/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3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3"/>
      <c r="MG16" s="13"/>
      <c r="MH16" s="13"/>
      <c r="MI16" s="13"/>
      <c r="MJ16" s="13"/>
      <c r="MK16" s="13"/>
      <c r="ML16" s="13"/>
      <c r="MM16" s="13"/>
      <c r="MN16" s="13"/>
      <c r="MO16" s="13"/>
      <c r="MP16" s="13"/>
      <c r="MQ16" s="13"/>
      <c r="MR16" s="13"/>
      <c r="MS16" s="13"/>
      <c r="MT16" s="13"/>
      <c r="MU16" s="13"/>
      <c r="MV16" s="13"/>
      <c r="MW16" s="13"/>
      <c r="MX16" s="13"/>
      <c r="MY16" s="13"/>
      <c r="MZ16" s="13"/>
      <c r="NA16" s="13"/>
      <c r="NB16" s="13"/>
      <c r="NC16" s="13"/>
      <c r="ND16" s="13"/>
      <c r="NE16" s="13"/>
      <c r="NF16" s="13"/>
      <c r="NG16" s="13"/>
      <c r="NH16" s="13"/>
      <c r="NI16" s="13"/>
      <c r="NJ16" s="13"/>
      <c r="NK16" s="13"/>
      <c r="NL16" s="13"/>
      <c r="NM16" s="13"/>
      <c r="NN16" s="13"/>
      <c r="NO16" s="13"/>
      <c r="NP16" s="13"/>
      <c r="NQ16" s="13"/>
      <c r="NR16" s="13"/>
      <c r="NS16" s="13"/>
      <c r="NT16" s="13"/>
      <c r="NU16" s="13"/>
      <c r="NV16" s="13"/>
      <c r="NW16" s="13"/>
      <c r="NX16" s="13"/>
      <c r="NY16" s="13"/>
      <c r="NZ16" s="13"/>
      <c r="OA16" s="13"/>
      <c r="OB16" s="13"/>
      <c r="OC16" s="13"/>
      <c r="OD16" s="13"/>
      <c r="OE16" s="13"/>
      <c r="OF16" s="13"/>
      <c r="OG16" s="13"/>
      <c r="OH16" s="13"/>
      <c r="OI16" s="13"/>
      <c r="OJ16" s="13"/>
      <c r="OK16" s="13"/>
      <c r="OL16" s="13"/>
      <c r="OM16" s="13"/>
      <c r="ON16" s="13"/>
      <c r="OO16" s="13"/>
      <c r="OP16" s="13"/>
      <c r="OQ16" s="13"/>
      <c r="OR16" s="13"/>
      <c r="OS16" s="13"/>
      <c r="OT16" s="13"/>
      <c r="OU16" s="13"/>
      <c r="OV16" s="13"/>
      <c r="OW16" s="13"/>
      <c r="OX16" s="13"/>
      <c r="OY16" s="13"/>
      <c r="OZ16" s="13"/>
      <c r="PA16" s="13"/>
      <c r="PB16" s="13"/>
      <c r="PC16" s="13"/>
      <c r="PD16" s="13"/>
      <c r="PE16" s="13"/>
      <c r="PF16" s="13"/>
      <c r="PG16" s="13"/>
      <c r="PH16" s="13"/>
      <c r="PI16" s="13"/>
      <c r="PJ16" s="13"/>
      <c r="PK16" s="13"/>
      <c r="PL16" s="13"/>
      <c r="PM16" s="13"/>
      <c r="PN16" s="13"/>
      <c r="PO16" s="13"/>
      <c r="PP16" s="13"/>
      <c r="PQ16" s="13"/>
      <c r="PR16" s="13"/>
      <c r="PS16" s="13"/>
      <c r="PT16" s="13"/>
      <c r="PU16" s="13"/>
      <c r="PV16" s="13"/>
      <c r="PW16" s="13"/>
      <c r="PX16" s="13"/>
      <c r="PY16" s="13"/>
      <c r="PZ16" s="13"/>
      <c r="QA16" s="13"/>
      <c r="QB16" s="13"/>
      <c r="QC16" s="13"/>
      <c r="QD16" s="13"/>
      <c r="QE16" s="13"/>
      <c r="QF16" s="13"/>
      <c r="QG16" s="13"/>
      <c r="QH16" s="13"/>
      <c r="QI16" s="13"/>
      <c r="QJ16" s="13"/>
      <c r="QK16" s="13"/>
      <c r="QL16" s="13"/>
      <c r="QM16" s="13"/>
      <c r="QN16" s="13"/>
      <c r="QO16" s="13"/>
      <c r="QP16" s="13"/>
      <c r="QQ16" s="13"/>
      <c r="QR16" s="13"/>
      <c r="QS16" s="13"/>
      <c r="QT16" s="13"/>
      <c r="QU16" s="13"/>
      <c r="QV16" s="13"/>
      <c r="QW16" s="13"/>
      <c r="QX16" s="13"/>
      <c r="QY16" s="13"/>
      <c r="QZ16" s="13"/>
      <c r="RA16" s="13"/>
      <c r="RB16" s="13"/>
      <c r="RC16" s="13"/>
      <c r="RD16" s="13"/>
      <c r="RE16" s="13"/>
      <c r="RF16" s="13"/>
      <c r="RG16" s="13"/>
      <c r="RH16" s="13"/>
      <c r="RI16" s="13"/>
      <c r="RJ16" s="13"/>
      <c r="RK16" s="13"/>
      <c r="RL16" s="13"/>
      <c r="RM16" s="13"/>
      <c r="RN16" s="13"/>
      <c r="RO16" s="13"/>
      <c r="RP16" s="13"/>
      <c r="RQ16" s="13"/>
      <c r="RR16" s="13"/>
      <c r="RS16" s="13"/>
      <c r="RT16" s="13"/>
      <c r="RU16" s="13"/>
      <c r="RV16" s="13"/>
      <c r="RW16" s="13"/>
      <c r="RX16" s="13"/>
      <c r="RY16" s="13"/>
      <c r="RZ16" s="13"/>
      <c r="SA16" s="13"/>
      <c r="SB16" s="13"/>
      <c r="SC16" s="13"/>
      <c r="SD16" s="13"/>
      <c r="SE16" s="13"/>
      <c r="SF16" s="13"/>
      <c r="SG16" s="13"/>
      <c r="SH16" s="13"/>
      <c r="SI16" s="13"/>
      <c r="SJ16" s="13"/>
      <c r="SK16" s="13"/>
      <c r="SL16" s="13"/>
      <c r="SM16" s="13"/>
      <c r="SN16" s="13"/>
      <c r="SO16" s="13"/>
      <c r="SP16" s="13"/>
      <c r="SQ16" s="13"/>
      <c r="SR16" s="13"/>
      <c r="SS16" s="13"/>
      <c r="ST16" s="13"/>
      <c r="SU16" s="13"/>
      <c r="SV16" s="13"/>
      <c r="SW16" s="13"/>
      <c r="SX16" s="13"/>
      <c r="SY16" s="13"/>
      <c r="SZ16" s="13"/>
      <c r="TA16" s="13"/>
      <c r="TB16" s="13"/>
      <c r="TC16" s="13"/>
      <c r="TD16" s="13"/>
      <c r="TE16" s="13"/>
      <c r="TF16" s="13"/>
      <c r="TG16" s="13"/>
      <c r="TH16" s="13"/>
      <c r="TI16" s="13"/>
      <c r="TJ16" s="13"/>
      <c r="TK16" s="13"/>
      <c r="TL16" s="13"/>
      <c r="TM16" s="13"/>
      <c r="TN16" s="13"/>
      <c r="TO16" s="13"/>
      <c r="TP16" s="13"/>
      <c r="TQ16" s="13"/>
      <c r="TR16" s="13"/>
      <c r="TS16" s="13"/>
      <c r="TT16" s="13"/>
      <c r="TU16" s="13"/>
      <c r="TV16" s="13"/>
      <c r="TW16" s="13"/>
      <c r="TX16" s="13"/>
      <c r="TY16" s="13"/>
      <c r="TZ16" s="13"/>
      <c r="UA16" s="13"/>
      <c r="UB16" s="13"/>
      <c r="UC16" s="13"/>
      <c r="UD16" s="13"/>
      <c r="UE16" s="13"/>
      <c r="UF16" s="13"/>
      <c r="UG16" s="13"/>
      <c r="UH16" s="13"/>
      <c r="UI16" s="13"/>
      <c r="UJ16" s="13"/>
      <c r="UK16" s="13"/>
      <c r="UL16" s="13"/>
      <c r="UM16" s="13"/>
      <c r="UN16" s="13"/>
      <c r="UO16" s="13"/>
      <c r="UP16" s="13"/>
      <c r="UQ16" s="13"/>
      <c r="UR16" s="13"/>
      <c r="US16" s="13"/>
      <c r="UT16" s="13"/>
      <c r="UU16" s="13"/>
      <c r="UV16" s="13"/>
      <c r="UW16" s="13"/>
      <c r="UX16" s="13"/>
      <c r="UY16" s="13"/>
      <c r="UZ16" s="13"/>
      <c r="VA16" s="13"/>
      <c r="VB16" s="13"/>
      <c r="VC16" s="13"/>
      <c r="VD16" s="13"/>
      <c r="VE16" s="13"/>
      <c r="VF16" s="13"/>
      <c r="VG16" s="13"/>
      <c r="VH16" s="13"/>
      <c r="VI16" s="13"/>
      <c r="VJ16" s="13"/>
      <c r="VK16" s="13"/>
      <c r="VL16" s="13"/>
      <c r="VM16" s="13"/>
      <c r="VN16" s="13"/>
      <c r="VO16" s="13"/>
      <c r="VP16" s="13"/>
      <c r="VQ16" s="13"/>
      <c r="VR16" s="13"/>
      <c r="VS16" s="13"/>
      <c r="VT16" s="13"/>
      <c r="VU16" s="13"/>
      <c r="VV16" s="13"/>
      <c r="VW16" s="13"/>
      <c r="VX16" s="13"/>
      <c r="VY16" s="13"/>
      <c r="VZ16" s="13"/>
      <c r="WA16" s="13"/>
      <c r="WB16" s="13"/>
      <c r="WC16" s="13"/>
      <c r="WD16" s="13"/>
      <c r="WE16" s="13"/>
      <c r="WF16" s="13"/>
      <c r="WG16" s="13"/>
      <c r="WH16" s="13"/>
      <c r="WI16" s="13"/>
      <c r="WJ16" s="13"/>
      <c r="WK16" s="13"/>
      <c r="WL16" s="13"/>
      <c r="WM16" s="13"/>
      <c r="WN16" s="13"/>
      <c r="WO16" s="13"/>
      <c r="WP16" s="13"/>
      <c r="WQ16" s="13"/>
      <c r="WR16" s="13"/>
      <c r="WS16" s="13"/>
      <c r="WT16" s="13"/>
      <c r="WU16" s="13"/>
      <c r="WV16" s="13"/>
      <c r="WW16" s="13"/>
      <c r="WX16" s="13"/>
      <c r="WY16" s="13"/>
      <c r="WZ16" s="13"/>
      <c r="XA16" s="13"/>
      <c r="XB16" s="13"/>
      <c r="XC16" s="13"/>
      <c r="XD16" s="13"/>
      <c r="XE16" s="13"/>
      <c r="XF16" s="13"/>
      <c r="XG16" s="13"/>
      <c r="XH16" s="13"/>
      <c r="XI16" s="13"/>
      <c r="XJ16" s="13"/>
      <c r="XK16" s="13"/>
      <c r="XL16" s="13"/>
      <c r="XM16" s="13"/>
      <c r="XN16" s="13"/>
      <c r="XO16" s="13"/>
      <c r="XP16" s="13"/>
      <c r="XQ16" s="13"/>
      <c r="XR16" s="13"/>
      <c r="XS16" s="13"/>
      <c r="XT16" s="13"/>
      <c r="XU16" s="13"/>
      <c r="XV16" s="13"/>
      <c r="XW16" s="13"/>
      <c r="XX16" s="13"/>
      <c r="XY16" s="13"/>
      <c r="XZ16" s="13"/>
      <c r="YA16" s="13"/>
      <c r="YB16" s="13"/>
      <c r="YC16" s="13"/>
      <c r="YD16" s="13"/>
      <c r="YE16" s="13"/>
      <c r="YF16" s="13"/>
      <c r="YG16" s="13"/>
      <c r="YH16" s="13"/>
      <c r="YI16" s="13"/>
      <c r="YJ16" s="13"/>
      <c r="YK16" s="13"/>
      <c r="YL16" s="13"/>
      <c r="YM16" s="13"/>
      <c r="YN16" s="13"/>
      <c r="YO16" s="13"/>
      <c r="YP16" s="13"/>
      <c r="YQ16" s="13"/>
      <c r="YR16" s="13"/>
      <c r="YS16" s="13"/>
      <c r="YT16" s="13"/>
      <c r="YU16" s="13"/>
      <c r="YV16" s="13"/>
      <c r="YW16" s="13"/>
      <c r="YX16" s="13"/>
      <c r="YY16" s="13"/>
      <c r="YZ16" s="13"/>
      <c r="ZA16" s="13"/>
      <c r="ZB16" s="13"/>
      <c r="ZC16" s="13"/>
      <c r="ZD16" s="13"/>
      <c r="ZE16" s="13"/>
      <c r="ZF16" s="13"/>
      <c r="ZG16" s="13"/>
      <c r="ZH16" s="13"/>
      <c r="ZI16" s="13"/>
      <c r="ZJ16" s="13"/>
      <c r="ZK16" s="13"/>
      <c r="ZL16" s="13"/>
      <c r="ZM16" s="13"/>
      <c r="ZN16" s="13"/>
      <c r="ZO16" s="13"/>
      <c r="ZP16" s="13"/>
      <c r="ZQ16" s="13"/>
      <c r="ZR16" s="13"/>
      <c r="ZS16" s="13"/>
      <c r="ZT16" s="13"/>
      <c r="ZU16" s="13"/>
      <c r="ZV16" s="13"/>
      <c r="ZW16" s="13"/>
      <c r="ZX16" s="13"/>
      <c r="ZY16" s="13"/>
      <c r="ZZ16" s="13"/>
      <c r="AAA16" s="13"/>
      <c r="AAB16" s="13"/>
      <c r="AAC16" s="13"/>
      <c r="AAD16" s="13"/>
      <c r="AAE16" s="13"/>
      <c r="AAF16" s="13"/>
      <c r="AAG16" s="13"/>
      <c r="AAH16" s="13"/>
      <c r="AAI16" s="13"/>
      <c r="AAJ16" s="13"/>
      <c r="AAK16" s="13"/>
      <c r="AAL16" s="13"/>
      <c r="AAM16" s="13"/>
      <c r="AAN16" s="13"/>
      <c r="AAO16" s="13"/>
      <c r="AAP16" s="13"/>
      <c r="AAQ16" s="13"/>
      <c r="AAR16" s="13"/>
      <c r="AAS16" s="13"/>
      <c r="AAT16" s="13"/>
      <c r="AAU16" s="13"/>
      <c r="AAV16" s="13"/>
      <c r="AAW16" s="13"/>
      <c r="AAX16" s="13"/>
      <c r="AAY16" s="13"/>
      <c r="AAZ16" s="13"/>
      <c r="ABA16" s="13"/>
      <c r="ABB16" s="13"/>
      <c r="ABC16" s="13"/>
      <c r="ABD16" s="13"/>
      <c r="ABE16" s="13"/>
      <c r="ABF16" s="13"/>
      <c r="ABG16" s="13"/>
      <c r="ABH16" s="13"/>
      <c r="ABI16" s="13"/>
      <c r="ABJ16" s="13"/>
      <c r="ABK16" s="13"/>
      <c r="ABL16" s="13"/>
      <c r="ABM16" s="13"/>
      <c r="ABN16" s="13"/>
      <c r="ABO16" s="13"/>
      <c r="ABP16" s="13"/>
      <c r="ABQ16" s="13"/>
      <c r="ABR16" s="13"/>
      <c r="ABS16" s="13"/>
      <c r="ABT16" s="13"/>
      <c r="ABU16" s="13"/>
      <c r="ABV16" s="13"/>
      <c r="ABW16" s="13"/>
      <c r="ABX16" s="13"/>
      <c r="ABY16" s="13"/>
      <c r="ABZ16" s="13"/>
      <c r="ACA16" s="13"/>
      <c r="ACB16" s="13"/>
      <c r="ACC16" s="13"/>
      <c r="ACD16" s="13"/>
      <c r="ACE16" s="13"/>
      <c r="ACF16" s="13"/>
      <c r="ACG16" s="13"/>
      <c r="ACH16" s="13"/>
      <c r="ACI16" s="13"/>
      <c r="ACJ16" s="13"/>
      <c r="ACK16" s="13"/>
      <c r="ACL16" s="13"/>
      <c r="ACM16" s="13"/>
      <c r="ACN16" s="13"/>
      <c r="ACO16" s="13"/>
      <c r="ACP16" s="13"/>
      <c r="ACQ16" s="13"/>
      <c r="ACR16" s="13"/>
      <c r="ACS16" s="13"/>
      <c r="ACT16" s="13"/>
      <c r="ACU16" s="13"/>
      <c r="ACV16" s="13"/>
      <c r="ACW16" s="13"/>
      <c r="ACX16" s="13"/>
      <c r="ACY16" s="13"/>
      <c r="ACZ16" s="13"/>
      <c r="ADA16" s="13"/>
      <c r="ADB16" s="13"/>
      <c r="ADC16" s="13"/>
      <c r="ADD16" s="13"/>
      <c r="ADE16" s="13"/>
      <c r="ADF16" s="13"/>
      <c r="ADG16" s="13"/>
      <c r="ADH16" s="13"/>
      <c r="ADI16" s="13"/>
      <c r="ADJ16" s="13"/>
      <c r="ADK16" s="13"/>
      <c r="ADL16" s="13"/>
      <c r="ADM16" s="13"/>
      <c r="ADN16" s="13"/>
      <c r="ADO16" s="13"/>
      <c r="ADP16" s="13"/>
      <c r="ADQ16" s="13"/>
      <c r="ADR16" s="13"/>
      <c r="ADS16" s="13"/>
      <c r="ADT16" s="13"/>
      <c r="ADU16" s="13"/>
      <c r="ADV16" s="13"/>
      <c r="ADW16" s="13"/>
      <c r="ADX16" s="13"/>
      <c r="ADY16" s="13"/>
      <c r="ADZ16" s="13"/>
      <c r="AEA16" s="13"/>
      <c r="AEB16" s="13"/>
      <c r="AEC16" s="13"/>
      <c r="AED16" s="13"/>
      <c r="AEE16" s="13"/>
      <c r="AEF16" s="13"/>
      <c r="AEG16" s="13"/>
      <c r="AEH16" s="13"/>
      <c r="AEI16" s="13"/>
      <c r="AEJ16" s="13"/>
      <c r="AEK16" s="13"/>
      <c r="AEL16" s="13"/>
      <c r="AEM16" s="13"/>
      <c r="AEN16" s="13"/>
      <c r="AEO16" s="13"/>
      <c r="AEP16" s="13"/>
      <c r="AEQ16" s="13"/>
      <c r="AER16" s="13"/>
      <c r="AES16" s="13"/>
      <c r="AET16" s="13"/>
      <c r="AEU16" s="13"/>
      <c r="AEV16" s="13"/>
      <c r="AEW16" s="13"/>
      <c r="AEX16" s="13"/>
      <c r="AEY16" s="13"/>
      <c r="AEZ16" s="13"/>
      <c r="AFA16" s="13"/>
      <c r="AFB16" s="13"/>
      <c r="AFC16" s="13"/>
      <c r="AFD16" s="13"/>
      <c r="AFE16" s="13"/>
      <c r="AFF16" s="13"/>
      <c r="AFG16" s="13"/>
      <c r="AFH16" s="13"/>
      <c r="AFI16" s="13"/>
      <c r="AFJ16" s="13"/>
      <c r="AFK16" s="13"/>
      <c r="AFL16" s="13"/>
      <c r="AFM16" s="13"/>
      <c r="AFN16" s="13"/>
      <c r="AFO16" s="13"/>
      <c r="AFP16" s="13"/>
      <c r="AFQ16" s="13"/>
      <c r="AFR16" s="13"/>
      <c r="AFS16" s="13"/>
      <c r="AFT16" s="13"/>
      <c r="AFU16" s="13"/>
      <c r="AFV16" s="13"/>
      <c r="AFW16" s="13"/>
      <c r="AFX16" s="13"/>
      <c r="AFY16" s="13"/>
      <c r="AFZ16" s="13"/>
      <c r="AGA16" s="13"/>
      <c r="AGB16" s="13"/>
      <c r="AGC16" s="13"/>
      <c r="AGD16" s="13"/>
      <c r="AGE16" s="13"/>
      <c r="AGF16" s="13"/>
      <c r="AGG16" s="13"/>
      <c r="AGH16" s="13"/>
      <c r="AGI16" s="13"/>
      <c r="AGJ16" s="13"/>
      <c r="AGK16" s="13"/>
      <c r="AGL16" s="13"/>
      <c r="AGM16" s="13"/>
      <c r="AGN16" s="13"/>
      <c r="AGO16" s="13"/>
      <c r="AGP16" s="13"/>
      <c r="AGQ16" s="13"/>
      <c r="AGR16" s="13"/>
      <c r="AGS16" s="13"/>
      <c r="AGT16" s="13"/>
      <c r="AGU16" s="13"/>
      <c r="AGV16" s="13"/>
      <c r="AGW16" s="13"/>
      <c r="AGX16" s="13"/>
      <c r="AGY16" s="13"/>
      <c r="AGZ16" s="13"/>
      <c r="AHA16" s="13"/>
      <c r="AHB16" s="13"/>
      <c r="AHC16" s="13"/>
      <c r="AHD16" s="13"/>
      <c r="AHE16" s="13"/>
      <c r="AHF16" s="13"/>
      <c r="AHG16" s="13"/>
      <c r="AHH16" s="13"/>
      <c r="AHI16" s="13"/>
      <c r="AHJ16" s="13"/>
      <c r="AHK16" s="13"/>
      <c r="AHL16" s="13"/>
      <c r="AHM16" s="13"/>
      <c r="AHN16" s="13"/>
      <c r="AHO16" s="13"/>
      <c r="AHP16" s="13"/>
      <c r="AHQ16" s="13"/>
      <c r="AHR16" s="13"/>
      <c r="AHS16" s="13"/>
      <c r="AHT16" s="13"/>
      <c r="AHU16" s="13"/>
      <c r="AHV16" s="13"/>
      <c r="AHW16" s="13"/>
      <c r="AHX16" s="13"/>
      <c r="AHY16" s="13"/>
      <c r="AHZ16" s="13"/>
      <c r="AIA16" s="13"/>
      <c r="AIB16" s="13"/>
      <c r="AIC16" s="13"/>
      <c r="AID16" s="13"/>
      <c r="AIE16" s="13"/>
      <c r="AIF16" s="13"/>
      <c r="AIG16" s="13"/>
      <c r="AIH16" s="13"/>
      <c r="AII16" s="13"/>
      <c r="AIJ16" s="13"/>
      <c r="AIK16" s="13"/>
      <c r="AIL16" s="13"/>
      <c r="AIM16" s="13"/>
      <c r="AIN16" s="13"/>
      <c r="AIO16" s="13"/>
      <c r="AIP16" s="13"/>
      <c r="AIQ16" s="13"/>
      <c r="AIR16" s="13"/>
      <c r="AIS16" s="13"/>
      <c r="AIT16" s="13"/>
      <c r="AIU16" s="13"/>
      <c r="AIV16" s="13"/>
      <c r="AIW16" s="13"/>
      <c r="AIX16" s="13"/>
      <c r="AIY16" s="13"/>
      <c r="AIZ16" s="13"/>
      <c r="AJA16" s="13"/>
      <c r="AJB16" s="13"/>
      <c r="AJC16" s="13"/>
      <c r="AJD16" s="13"/>
      <c r="AJE16" s="13"/>
      <c r="AJF16" s="13"/>
      <c r="AJG16" s="13"/>
      <c r="AJH16" s="13"/>
      <c r="AJI16" s="13"/>
      <c r="AJJ16" s="13"/>
      <c r="AJK16" s="13"/>
      <c r="AJL16" s="13"/>
      <c r="AJM16" s="13"/>
      <c r="AJN16" s="13"/>
      <c r="AJO16" s="13"/>
      <c r="AJP16" s="13"/>
      <c r="AJQ16" s="13"/>
      <c r="AJR16" s="13"/>
      <c r="AJS16" s="13"/>
      <c r="AJT16" s="13"/>
      <c r="AJU16" s="13"/>
      <c r="AJV16" s="13"/>
      <c r="AJW16" s="13"/>
      <c r="AJX16" s="13"/>
      <c r="AJY16" s="13"/>
      <c r="AJZ16" s="13"/>
      <c r="AKA16" s="13"/>
      <c r="AKB16" s="13"/>
      <c r="AKC16" s="13"/>
      <c r="AKD16" s="13"/>
      <c r="AKE16" s="13"/>
      <c r="AKF16" s="13"/>
      <c r="AKG16" s="13"/>
      <c r="AKH16" s="13"/>
      <c r="AKI16" s="13"/>
      <c r="AKJ16" s="13"/>
      <c r="AKK16" s="13"/>
      <c r="AKL16" s="13"/>
      <c r="AKM16" s="13"/>
      <c r="AKN16" s="13"/>
      <c r="AKO16" s="13"/>
      <c r="AKP16" s="13"/>
      <c r="AKQ16" s="13"/>
      <c r="AKR16" s="13"/>
      <c r="AKS16" s="13"/>
      <c r="AKT16" s="13"/>
      <c r="AKU16" s="13"/>
      <c r="AKV16" s="13"/>
      <c r="AKW16" s="13"/>
      <c r="AKX16" s="13"/>
      <c r="AKY16" s="13"/>
      <c r="AKZ16" s="13"/>
      <c r="ALA16" s="13"/>
      <c r="ALB16" s="13"/>
      <c r="ALC16" s="13"/>
      <c r="ALD16" s="13"/>
      <c r="ALE16" s="13"/>
      <c r="ALF16" s="13"/>
      <c r="ALG16" s="13"/>
      <c r="ALH16" s="13"/>
      <c r="ALI16" s="13"/>
      <c r="ALJ16" s="13"/>
      <c r="ALK16" s="13"/>
      <c r="ALL16" s="13"/>
      <c r="ALM16" s="13"/>
      <c r="ALN16" s="13"/>
      <c r="ALO16" s="13"/>
    </row>
    <row r="17" spans="1:1012" x14ac:dyDescent="0.35">
      <c r="A17" s="1" t="s">
        <v>5</v>
      </c>
      <c r="B17" s="145"/>
      <c r="E17" s="73"/>
      <c r="F17" s="144"/>
      <c r="I17" s="146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13"/>
      <c r="HQ17" s="13"/>
      <c r="HR17" s="13"/>
      <c r="HS17" s="13"/>
      <c r="HT17" s="13"/>
      <c r="HU17" s="13"/>
      <c r="HV17" s="13"/>
      <c r="HW17" s="13"/>
      <c r="HX17" s="13"/>
      <c r="HY17" s="13"/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13"/>
      <c r="IK17" s="13"/>
      <c r="IL17" s="13"/>
      <c r="IM17" s="13"/>
      <c r="IN17" s="13"/>
      <c r="IO17" s="13"/>
      <c r="IP17" s="13"/>
      <c r="IQ17" s="13"/>
      <c r="IR17" s="13"/>
      <c r="IS17" s="13"/>
      <c r="IT17" s="13"/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13"/>
      <c r="JF17" s="13"/>
      <c r="JG17" s="13"/>
      <c r="JH17" s="13"/>
      <c r="JI17" s="13"/>
      <c r="JJ17" s="13"/>
      <c r="JK17" s="13"/>
      <c r="JL17" s="13"/>
      <c r="JM17" s="13"/>
      <c r="JN17" s="13"/>
      <c r="JO17" s="13"/>
      <c r="JP17" s="13"/>
      <c r="JQ17" s="13"/>
      <c r="JR17" s="13"/>
      <c r="JS17" s="13"/>
      <c r="JT17" s="13"/>
      <c r="JU17" s="13"/>
      <c r="JV17" s="13"/>
      <c r="JW17" s="13"/>
      <c r="JX17" s="13"/>
      <c r="JY17" s="13"/>
      <c r="JZ17" s="13"/>
      <c r="KA17" s="13"/>
      <c r="KB17" s="13"/>
      <c r="KC17" s="13"/>
      <c r="KD17" s="13"/>
      <c r="KE17" s="13"/>
      <c r="KF17" s="13"/>
      <c r="KG17" s="13"/>
      <c r="KH17" s="13"/>
      <c r="KI17" s="13"/>
      <c r="KJ17" s="13"/>
      <c r="KK17" s="13"/>
      <c r="KL17" s="13"/>
      <c r="KM17" s="13"/>
      <c r="KN17" s="13"/>
      <c r="KO17" s="13"/>
      <c r="KP17" s="13"/>
      <c r="KQ17" s="13"/>
      <c r="KR17" s="13"/>
      <c r="KS17" s="13"/>
      <c r="KT17" s="13"/>
      <c r="KU17" s="13"/>
      <c r="KV17" s="13"/>
      <c r="KW17" s="13"/>
      <c r="KX17" s="13"/>
      <c r="KY17" s="13"/>
      <c r="KZ17" s="13"/>
      <c r="LA17" s="13"/>
      <c r="LB17" s="13"/>
      <c r="LC17" s="13"/>
      <c r="LD17" s="13"/>
      <c r="LE17" s="13"/>
      <c r="LF17" s="13"/>
      <c r="LG17" s="13"/>
      <c r="LH17" s="13"/>
      <c r="LI17" s="13"/>
      <c r="LJ17" s="13"/>
      <c r="LK17" s="13"/>
      <c r="LL17" s="13"/>
      <c r="LM17" s="13"/>
      <c r="LN17" s="13"/>
      <c r="LO17" s="13"/>
      <c r="LP17" s="13"/>
      <c r="LQ17" s="13"/>
      <c r="LR17" s="13"/>
      <c r="LS17" s="13"/>
      <c r="LT17" s="13"/>
      <c r="LU17" s="13"/>
      <c r="LV17" s="13"/>
      <c r="LW17" s="13"/>
      <c r="LX17" s="13"/>
      <c r="LY17" s="13"/>
      <c r="LZ17" s="13"/>
      <c r="MA17" s="13"/>
      <c r="MB17" s="13"/>
      <c r="MC17" s="13"/>
      <c r="MD17" s="13"/>
      <c r="ME17" s="13"/>
      <c r="MF17" s="13"/>
      <c r="MG17" s="13"/>
      <c r="MH17" s="13"/>
      <c r="MI17" s="13"/>
      <c r="MJ17" s="13"/>
      <c r="MK17" s="13"/>
      <c r="ML17" s="13"/>
      <c r="MM17" s="13"/>
      <c r="MN17" s="13"/>
      <c r="MO17" s="13"/>
      <c r="MP17" s="13"/>
      <c r="MQ17" s="13"/>
      <c r="MR17" s="13"/>
      <c r="MS17" s="13"/>
      <c r="MT17" s="13"/>
      <c r="MU17" s="13"/>
      <c r="MV17" s="13"/>
      <c r="MW17" s="13"/>
      <c r="MX17" s="13"/>
      <c r="MY17" s="13"/>
      <c r="MZ17" s="13"/>
      <c r="NA17" s="13"/>
      <c r="NB17" s="13"/>
      <c r="NC17" s="13"/>
      <c r="ND17" s="13"/>
      <c r="NE17" s="13"/>
      <c r="NF17" s="13"/>
      <c r="NG17" s="13"/>
      <c r="NH17" s="13"/>
      <c r="NI17" s="13"/>
      <c r="NJ17" s="13"/>
      <c r="NK17" s="13"/>
      <c r="NL17" s="13"/>
      <c r="NM17" s="13"/>
      <c r="NN17" s="13"/>
      <c r="NO17" s="13"/>
      <c r="NP17" s="13"/>
      <c r="NQ17" s="13"/>
      <c r="NR17" s="13"/>
      <c r="NS17" s="13"/>
      <c r="NT17" s="13"/>
      <c r="NU17" s="13"/>
      <c r="NV17" s="13"/>
      <c r="NW17" s="13"/>
      <c r="NX17" s="13"/>
      <c r="NY17" s="13"/>
      <c r="NZ17" s="13"/>
      <c r="OA17" s="13"/>
      <c r="OB17" s="13"/>
      <c r="OC17" s="13"/>
      <c r="OD17" s="13"/>
      <c r="OE17" s="13"/>
      <c r="OF17" s="13"/>
      <c r="OG17" s="13"/>
      <c r="OH17" s="13"/>
      <c r="OI17" s="13"/>
      <c r="OJ17" s="13"/>
      <c r="OK17" s="13"/>
      <c r="OL17" s="13"/>
      <c r="OM17" s="13"/>
      <c r="ON17" s="13"/>
      <c r="OO17" s="13"/>
      <c r="OP17" s="13"/>
      <c r="OQ17" s="13"/>
      <c r="OR17" s="13"/>
      <c r="OS17" s="13"/>
      <c r="OT17" s="13"/>
      <c r="OU17" s="13"/>
      <c r="OV17" s="13"/>
      <c r="OW17" s="13"/>
      <c r="OX17" s="13"/>
      <c r="OY17" s="13"/>
      <c r="OZ17" s="13"/>
      <c r="PA17" s="13"/>
      <c r="PB17" s="13"/>
      <c r="PC17" s="13"/>
      <c r="PD17" s="13"/>
      <c r="PE17" s="13"/>
      <c r="PF17" s="13"/>
      <c r="PG17" s="13"/>
      <c r="PH17" s="13"/>
      <c r="PI17" s="13"/>
      <c r="PJ17" s="13"/>
      <c r="PK17" s="13"/>
      <c r="PL17" s="13"/>
      <c r="PM17" s="13"/>
      <c r="PN17" s="13"/>
      <c r="PO17" s="13"/>
      <c r="PP17" s="13"/>
      <c r="PQ17" s="13"/>
      <c r="PR17" s="13"/>
      <c r="PS17" s="13"/>
      <c r="PT17" s="13"/>
      <c r="PU17" s="13"/>
      <c r="PV17" s="13"/>
      <c r="PW17" s="13"/>
      <c r="PX17" s="13"/>
      <c r="PY17" s="13"/>
      <c r="PZ17" s="13"/>
      <c r="QA17" s="13"/>
      <c r="QB17" s="13"/>
      <c r="QC17" s="13"/>
      <c r="QD17" s="13"/>
      <c r="QE17" s="13"/>
      <c r="QF17" s="13"/>
      <c r="QG17" s="13"/>
      <c r="QH17" s="13"/>
      <c r="QI17" s="13"/>
      <c r="QJ17" s="13"/>
      <c r="QK17" s="13"/>
      <c r="QL17" s="13"/>
      <c r="QM17" s="13"/>
      <c r="QN17" s="13"/>
      <c r="QO17" s="13"/>
      <c r="QP17" s="13"/>
      <c r="QQ17" s="13"/>
      <c r="QR17" s="13"/>
      <c r="QS17" s="13"/>
      <c r="QT17" s="13"/>
      <c r="QU17" s="13"/>
      <c r="QV17" s="13"/>
      <c r="QW17" s="13"/>
      <c r="QX17" s="13"/>
      <c r="QY17" s="13"/>
      <c r="QZ17" s="13"/>
      <c r="RA17" s="13"/>
      <c r="RB17" s="13"/>
      <c r="RC17" s="13"/>
      <c r="RD17" s="13"/>
      <c r="RE17" s="13"/>
      <c r="RF17" s="13"/>
      <c r="RG17" s="13"/>
      <c r="RH17" s="13"/>
      <c r="RI17" s="13"/>
      <c r="RJ17" s="13"/>
      <c r="RK17" s="13"/>
      <c r="RL17" s="13"/>
      <c r="RM17" s="13"/>
      <c r="RN17" s="13"/>
      <c r="RO17" s="13"/>
      <c r="RP17" s="13"/>
      <c r="RQ17" s="13"/>
      <c r="RR17" s="13"/>
      <c r="RS17" s="13"/>
      <c r="RT17" s="13"/>
      <c r="RU17" s="13"/>
      <c r="RV17" s="13"/>
      <c r="RW17" s="13"/>
      <c r="RX17" s="13"/>
      <c r="RY17" s="13"/>
      <c r="RZ17" s="13"/>
      <c r="SA17" s="13"/>
      <c r="SB17" s="13"/>
      <c r="SC17" s="13"/>
      <c r="SD17" s="13"/>
      <c r="SE17" s="13"/>
      <c r="SF17" s="13"/>
      <c r="SG17" s="13"/>
      <c r="SH17" s="13"/>
      <c r="SI17" s="13"/>
      <c r="SJ17" s="13"/>
      <c r="SK17" s="13"/>
      <c r="SL17" s="13"/>
      <c r="SM17" s="13"/>
      <c r="SN17" s="13"/>
      <c r="SO17" s="13"/>
      <c r="SP17" s="13"/>
      <c r="SQ17" s="13"/>
      <c r="SR17" s="13"/>
      <c r="SS17" s="13"/>
      <c r="ST17" s="13"/>
      <c r="SU17" s="13"/>
      <c r="SV17" s="13"/>
      <c r="SW17" s="13"/>
      <c r="SX17" s="13"/>
      <c r="SY17" s="13"/>
      <c r="SZ17" s="13"/>
      <c r="TA17" s="13"/>
      <c r="TB17" s="13"/>
      <c r="TC17" s="13"/>
      <c r="TD17" s="13"/>
      <c r="TE17" s="13"/>
      <c r="TF17" s="13"/>
      <c r="TG17" s="13"/>
      <c r="TH17" s="13"/>
      <c r="TI17" s="13"/>
      <c r="TJ17" s="13"/>
      <c r="TK17" s="13"/>
      <c r="TL17" s="13"/>
      <c r="TM17" s="13"/>
      <c r="TN17" s="13"/>
      <c r="TO17" s="13"/>
      <c r="TP17" s="13"/>
      <c r="TQ17" s="13"/>
      <c r="TR17" s="13"/>
      <c r="TS17" s="13"/>
      <c r="TT17" s="13"/>
      <c r="TU17" s="13"/>
      <c r="TV17" s="13"/>
      <c r="TW17" s="13"/>
      <c r="TX17" s="13"/>
      <c r="TY17" s="13"/>
      <c r="TZ17" s="13"/>
      <c r="UA17" s="13"/>
      <c r="UB17" s="13"/>
      <c r="UC17" s="13"/>
      <c r="UD17" s="13"/>
      <c r="UE17" s="13"/>
      <c r="UF17" s="13"/>
      <c r="UG17" s="13"/>
      <c r="UH17" s="13"/>
      <c r="UI17" s="13"/>
      <c r="UJ17" s="13"/>
      <c r="UK17" s="13"/>
      <c r="UL17" s="13"/>
      <c r="UM17" s="13"/>
      <c r="UN17" s="13"/>
      <c r="UO17" s="13"/>
      <c r="UP17" s="13"/>
      <c r="UQ17" s="13"/>
      <c r="UR17" s="13"/>
      <c r="US17" s="13"/>
      <c r="UT17" s="13"/>
      <c r="UU17" s="13"/>
      <c r="UV17" s="13"/>
      <c r="UW17" s="13"/>
      <c r="UX17" s="13"/>
      <c r="UY17" s="13"/>
      <c r="UZ17" s="13"/>
      <c r="VA17" s="13"/>
      <c r="VB17" s="13"/>
      <c r="VC17" s="13"/>
      <c r="VD17" s="13"/>
      <c r="VE17" s="13"/>
      <c r="VF17" s="13"/>
      <c r="VG17" s="13"/>
      <c r="VH17" s="13"/>
      <c r="VI17" s="13"/>
      <c r="VJ17" s="13"/>
      <c r="VK17" s="13"/>
      <c r="VL17" s="13"/>
      <c r="VM17" s="13"/>
      <c r="VN17" s="13"/>
      <c r="VO17" s="13"/>
      <c r="VP17" s="13"/>
      <c r="VQ17" s="13"/>
      <c r="VR17" s="13"/>
      <c r="VS17" s="13"/>
      <c r="VT17" s="13"/>
      <c r="VU17" s="13"/>
      <c r="VV17" s="13"/>
      <c r="VW17" s="13"/>
      <c r="VX17" s="13"/>
      <c r="VY17" s="13"/>
      <c r="VZ17" s="13"/>
      <c r="WA17" s="13"/>
      <c r="WB17" s="13"/>
      <c r="WC17" s="13"/>
      <c r="WD17" s="13"/>
      <c r="WE17" s="13"/>
      <c r="WF17" s="13"/>
      <c r="WG17" s="13"/>
      <c r="WH17" s="13"/>
      <c r="WI17" s="13"/>
      <c r="WJ17" s="13"/>
      <c r="WK17" s="13"/>
      <c r="WL17" s="13"/>
      <c r="WM17" s="13"/>
      <c r="WN17" s="13"/>
      <c r="WO17" s="13"/>
      <c r="WP17" s="13"/>
      <c r="WQ17" s="13"/>
      <c r="WR17" s="13"/>
      <c r="WS17" s="13"/>
      <c r="WT17" s="13"/>
      <c r="WU17" s="13"/>
      <c r="WV17" s="13"/>
      <c r="WW17" s="13"/>
      <c r="WX17" s="13"/>
      <c r="WY17" s="13"/>
      <c r="WZ17" s="13"/>
      <c r="XA17" s="13"/>
      <c r="XB17" s="13"/>
      <c r="XC17" s="13"/>
      <c r="XD17" s="13"/>
      <c r="XE17" s="13"/>
      <c r="XF17" s="13"/>
      <c r="XG17" s="13"/>
      <c r="XH17" s="13"/>
      <c r="XI17" s="13"/>
      <c r="XJ17" s="13"/>
      <c r="XK17" s="13"/>
      <c r="XL17" s="13"/>
      <c r="XM17" s="13"/>
      <c r="XN17" s="13"/>
      <c r="XO17" s="13"/>
      <c r="XP17" s="13"/>
      <c r="XQ17" s="13"/>
      <c r="XR17" s="13"/>
      <c r="XS17" s="13"/>
      <c r="XT17" s="13"/>
      <c r="XU17" s="13"/>
      <c r="XV17" s="13"/>
      <c r="XW17" s="13"/>
      <c r="XX17" s="13"/>
      <c r="XY17" s="13"/>
      <c r="XZ17" s="13"/>
      <c r="YA17" s="13"/>
      <c r="YB17" s="13"/>
      <c r="YC17" s="13"/>
      <c r="YD17" s="13"/>
      <c r="YE17" s="13"/>
      <c r="YF17" s="13"/>
      <c r="YG17" s="13"/>
      <c r="YH17" s="13"/>
      <c r="YI17" s="13"/>
      <c r="YJ17" s="13"/>
      <c r="YK17" s="13"/>
      <c r="YL17" s="13"/>
      <c r="YM17" s="13"/>
      <c r="YN17" s="13"/>
      <c r="YO17" s="13"/>
      <c r="YP17" s="13"/>
      <c r="YQ17" s="13"/>
      <c r="YR17" s="13"/>
      <c r="YS17" s="13"/>
      <c r="YT17" s="13"/>
      <c r="YU17" s="13"/>
      <c r="YV17" s="13"/>
      <c r="YW17" s="13"/>
      <c r="YX17" s="13"/>
      <c r="YY17" s="13"/>
      <c r="YZ17" s="13"/>
      <c r="ZA17" s="13"/>
      <c r="ZB17" s="13"/>
      <c r="ZC17" s="13"/>
      <c r="ZD17" s="13"/>
      <c r="ZE17" s="13"/>
      <c r="ZF17" s="13"/>
      <c r="ZG17" s="13"/>
      <c r="ZH17" s="13"/>
      <c r="ZI17" s="13"/>
      <c r="ZJ17" s="13"/>
      <c r="ZK17" s="13"/>
      <c r="ZL17" s="13"/>
      <c r="ZM17" s="13"/>
      <c r="ZN17" s="13"/>
      <c r="ZO17" s="13"/>
      <c r="ZP17" s="13"/>
      <c r="ZQ17" s="13"/>
      <c r="ZR17" s="13"/>
      <c r="ZS17" s="13"/>
      <c r="ZT17" s="13"/>
      <c r="ZU17" s="13"/>
      <c r="ZV17" s="13"/>
      <c r="ZW17" s="13"/>
      <c r="ZX17" s="13"/>
      <c r="ZY17" s="13"/>
      <c r="ZZ17" s="13"/>
      <c r="AAA17" s="13"/>
      <c r="AAB17" s="13"/>
      <c r="AAC17" s="13"/>
      <c r="AAD17" s="13"/>
      <c r="AAE17" s="13"/>
      <c r="AAF17" s="13"/>
      <c r="AAG17" s="13"/>
      <c r="AAH17" s="13"/>
      <c r="AAI17" s="13"/>
      <c r="AAJ17" s="13"/>
      <c r="AAK17" s="13"/>
      <c r="AAL17" s="13"/>
      <c r="AAM17" s="13"/>
      <c r="AAN17" s="13"/>
      <c r="AAO17" s="13"/>
      <c r="AAP17" s="13"/>
      <c r="AAQ17" s="13"/>
      <c r="AAR17" s="13"/>
      <c r="AAS17" s="13"/>
      <c r="AAT17" s="13"/>
      <c r="AAU17" s="13"/>
      <c r="AAV17" s="13"/>
      <c r="AAW17" s="13"/>
      <c r="AAX17" s="13"/>
      <c r="AAY17" s="13"/>
      <c r="AAZ17" s="13"/>
      <c r="ABA17" s="13"/>
      <c r="ABB17" s="13"/>
      <c r="ABC17" s="13"/>
      <c r="ABD17" s="13"/>
      <c r="ABE17" s="13"/>
      <c r="ABF17" s="13"/>
      <c r="ABG17" s="13"/>
      <c r="ABH17" s="13"/>
      <c r="ABI17" s="13"/>
      <c r="ABJ17" s="13"/>
      <c r="ABK17" s="13"/>
      <c r="ABL17" s="13"/>
      <c r="ABM17" s="13"/>
      <c r="ABN17" s="13"/>
      <c r="ABO17" s="13"/>
      <c r="ABP17" s="13"/>
      <c r="ABQ17" s="13"/>
      <c r="ABR17" s="13"/>
      <c r="ABS17" s="13"/>
      <c r="ABT17" s="13"/>
      <c r="ABU17" s="13"/>
      <c r="ABV17" s="13"/>
      <c r="ABW17" s="13"/>
      <c r="ABX17" s="13"/>
      <c r="ABY17" s="13"/>
      <c r="ABZ17" s="13"/>
      <c r="ACA17" s="13"/>
      <c r="ACB17" s="13"/>
      <c r="ACC17" s="13"/>
      <c r="ACD17" s="13"/>
      <c r="ACE17" s="13"/>
      <c r="ACF17" s="13"/>
      <c r="ACG17" s="13"/>
      <c r="ACH17" s="13"/>
      <c r="ACI17" s="13"/>
      <c r="ACJ17" s="13"/>
      <c r="ACK17" s="13"/>
      <c r="ACL17" s="13"/>
      <c r="ACM17" s="13"/>
      <c r="ACN17" s="13"/>
      <c r="ACO17" s="13"/>
      <c r="ACP17" s="13"/>
      <c r="ACQ17" s="13"/>
      <c r="ACR17" s="13"/>
      <c r="ACS17" s="13"/>
      <c r="ACT17" s="13"/>
      <c r="ACU17" s="13"/>
      <c r="ACV17" s="13"/>
      <c r="ACW17" s="13"/>
      <c r="ACX17" s="13"/>
      <c r="ACY17" s="13"/>
      <c r="ACZ17" s="13"/>
      <c r="ADA17" s="13"/>
      <c r="ADB17" s="13"/>
      <c r="ADC17" s="13"/>
      <c r="ADD17" s="13"/>
      <c r="ADE17" s="13"/>
      <c r="ADF17" s="13"/>
      <c r="ADG17" s="13"/>
      <c r="ADH17" s="13"/>
      <c r="ADI17" s="13"/>
      <c r="ADJ17" s="13"/>
      <c r="ADK17" s="13"/>
      <c r="ADL17" s="13"/>
      <c r="ADM17" s="13"/>
      <c r="ADN17" s="13"/>
      <c r="ADO17" s="13"/>
      <c r="ADP17" s="13"/>
      <c r="ADQ17" s="13"/>
      <c r="ADR17" s="13"/>
      <c r="ADS17" s="13"/>
      <c r="ADT17" s="13"/>
      <c r="ADU17" s="13"/>
      <c r="ADV17" s="13"/>
      <c r="ADW17" s="13"/>
      <c r="ADX17" s="13"/>
      <c r="ADY17" s="13"/>
      <c r="ADZ17" s="13"/>
      <c r="AEA17" s="13"/>
      <c r="AEB17" s="13"/>
      <c r="AEC17" s="13"/>
      <c r="AED17" s="13"/>
      <c r="AEE17" s="13"/>
      <c r="AEF17" s="13"/>
      <c r="AEG17" s="13"/>
      <c r="AEH17" s="13"/>
      <c r="AEI17" s="13"/>
      <c r="AEJ17" s="13"/>
      <c r="AEK17" s="13"/>
      <c r="AEL17" s="13"/>
      <c r="AEM17" s="13"/>
      <c r="AEN17" s="13"/>
      <c r="AEO17" s="13"/>
      <c r="AEP17" s="13"/>
      <c r="AEQ17" s="13"/>
      <c r="AER17" s="13"/>
      <c r="AES17" s="13"/>
      <c r="AET17" s="13"/>
      <c r="AEU17" s="13"/>
      <c r="AEV17" s="13"/>
      <c r="AEW17" s="13"/>
      <c r="AEX17" s="13"/>
      <c r="AEY17" s="13"/>
      <c r="AEZ17" s="13"/>
      <c r="AFA17" s="13"/>
      <c r="AFB17" s="13"/>
      <c r="AFC17" s="13"/>
      <c r="AFD17" s="13"/>
      <c r="AFE17" s="13"/>
      <c r="AFF17" s="13"/>
      <c r="AFG17" s="13"/>
      <c r="AFH17" s="13"/>
      <c r="AFI17" s="13"/>
      <c r="AFJ17" s="13"/>
      <c r="AFK17" s="13"/>
      <c r="AFL17" s="13"/>
      <c r="AFM17" s="13"/>
      <c r="AFN17" s="13"/>
      <c r="AFO17" s="13"/>
      <c r="AFP17" s="13"/>
      <c r="AFQ17" s="13"/>
      <c r="AFR17" s="13"/>
      <c r="AFS17" s="13"/>
      <c r="AFT17" s="13"/>
      <c r="AFU17" s="13"/>
      <c r="AFV17" s="13"/>
      <c r="AFW17" s="13"/>
      <c r="AFX17" s="13"/>
      <c r="AFY17" s="13"/>
      <c r="AFZ17" s="13"/>
      <c r="AGA17" s="13"/>
      <c r="AGB17" s="13"/>
      <c r="AGC17" s="13"/>
      <c r="AGD17" s="13"/>
      <c r="AGE17" s="13"/>
      <c r="AGF17" s="13"/>
      <c r="AGG17" s="13"/>
      <c r="AGH17" s="13"/>
      <c r="AGI17" s="13"/>
      <c r="AGJ17" s="13"/>
      <c r="AGK17" s="13"/>
      <c r="AGL17" s="13"/>
      <c r="AGM17" s="13"/>
      <c r="AGN17" s="13"/>
      <c r="AGO17" s="13"/>
      <c r="AGP17" s="13"/>
      <c r="AGQ17" s="13"/>
      <c r="AGR17" s="13"/>
      <c r="AGS17" s="13"/>
      <c r="AGT17" s="13"/>
      <c r="AGU17" s="13"/>
      <c r="AGV17" s="13"/>
      <c r="AGW17" s="13"/>
      <c r="AGX17" s="13"/>
      <c r="AGY17" s="13"/>
      <c r="AGZ17" s="13"/>
      <c r="AHA17" s="13"/>
      <c r="AHB17" s="13"/>
      <c r="AHC17" s="13"/>
      <c r="AHD17" s="13"/>
      <c r="AHE17" s="13"/>
      <c r="AHF17" s="13"/>
      <c r="AHG17" s="13"/>
      <c r="AHH17" s="13"/>
      <c r="AHI17" s="13"/>
      <c r="AHJ17" s="13"/>
      <c r="AHK17" s="13"/>
      <c r="AHL17" s="13"/>
      <c r="AHM17" s="13"/>
      <c r="AHN17" s="13"/>
      <c r="AHO17" s="13"/>
      <c r="AHP17" s="13"/>
      <c r="AHQ17" s="13"/>
      <c r="AHR17" s="13"/>
      <c r="AHS17" s="13"/>
      <c r="AHT17" s="13"/>
      <c r="AHU17" s="13"/>
      <c r="AHV17" s="13"/>
      <c r="AHW17" s="13"/>
      <c r="AHX17" s="13"/>
      <c r="AHY17" s="13"/>
      <c r="AHZ17" s="13"/>
      <c r="AIA17" s="13"/>
      <c r="AIB17" s="13"/>
      <c r="AIC17" s="13"/>
      <c r="AID17" s="13"/>
      <c r="AIE17" s="13"/>
      <c r="AIF17" s="13"/>
      <c r="AIG17" s="13"/>
      <c r="AIH17" s="13"/>
      <c r="AII17" s="13"/>
      <c r="AIJ17" s="13"/>
      <c r="AIK17" s="13"/>
      <c r="AIL17" s="13"/>
      <c r="AIM17" s="13"/>
      <c r="AIN17" s="13"/>
      <c r="AIO17" s="13"/>
      <c r="AIP17" s="13"/>
      <c r="AIQ17" s="13"/>
      <c r="AIR17" s="13"/>
      <c r="AIS17" s="13"/>
      <c r="AIT17" s="13"/>
      <c r="AIU17" s="13"/>
      <c r="AIV17" s="13"/>
      <c r="AIW17" s="13"/>
      <c r="AIX17" s="13"/>
      <c r="AIY17" s="13"/>
      <c r="AIZ17" s="13"/>
      <c r="AJA17" s="13"/>
      <c r="AJB17" s="13"/>
      <c r="AJC17" s="13"/>
      <c r="AJD17" s="13"/>
      <c r="AJE17" s="13"/>
      <c r="AJF17" s="13"/>
      <c r="AJG17" s="13"/>
      <c r="AJH17" s="13"/>
      <c r="AJI17" s="13"/>
      <c r="AJJ17" s="13"/>
      <c r="AJK17" s="13"/>
      <c r="AJL17" s="13"/>
      <c r="AJM17" s="13"/>
      <c r="AJN17" s="13"/>
      <c r="AJO17" s="13"/>
      <c r="AJP17" s="13"/>
      <c r="AJQ17" s="13"/>
      <c r="AJR17" s="13"/>
      <c r="AJS17" s="13"/>
      <c r="AJT17" s="13"/>
      <c r="AJU17" s="13"/>
      <c r="AJV17" s="13"/>
      <c r="AJW17" s="13"/>
      <c r="AJX17" s="13"/>
      <c r="AJY17" s="13"/>
      <c r="AJZ17" s="13"/>
      <c r="AKA17" s="13"/>
      <c r="AKB17" s="13"/>
      <c r="AKC17" s="13"/>
      <c r="AKD17" s="13"/>
      <c r="AKE17" s="13"/>
      <c r="AKF17" s="13"/>
      <c r="AKG17" s="13"/>
      <c r="AKH17" s="13"/>
      <c r="AKI17" s="13"/>
      <c r="AKJ17" s="13"/>
      <c r="AKK17" s="13"/>
      <c r="AKL17" s="13"/>
      <c r="AKM17" s="13"/>
      <c r="AKN17" s="13"/>
      <c r="AKO17" s="13"/>
      <c r="AKP17" s="13"/>
      <c r="AKQ17" s="13"/>
      <c r="AKR17" s="13"/>
      <c r="AKS17" s="13"/>
      <c r="AKT17" s="13"/>
      <c r="AKU17" s="13"/>
      <c r="AKV17" s="13"/>
      <c r="AKW17" s="13"/>
      <c r="AKX17" s="13"/>
      <c r="AKY17" s="13"/>
      <c r="AKZ17" s="13"/>
      <c r="ALA17" s="13"/>
      <c r="ALB17" s="13"/>
      <c r="ALC17" s="13"/>
      <c r="ALD17" s="13"/>
      <c r="ALE17" s="13"/>
      <c r="ALF17" s="13"/>
      <c r="ALG17" s="13"/>
      <c r="ALH17" s="13"/>
      <c r="ALI17" s="13"/>
      <c r="ALJ17" s="13"/>
      <c r="ALK17" s="13"/>
      <c r="ALL17" s="13"/>
      <c r="ALM17" s="13"/>
      <c r="ALN17" s="13"/>
      <c r="ALO17" s="13"/>
    </row>
    <row r="18" spans="1:1012" x14ac:dyDescent="0.35">
      <c r="A18" s="19" t="s">
        <v>37</v>
      </c>
      <c r="B18" s="1"/>
      <c r="E18" s="73"/>
      <c r="F18" s="144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13"/>
      <c r="JV18" s="13"/>
      <c r="JW18" s="13"/>
      <c r="JX18" s="13"/>
      <c r="JY18" s="13"/>
      <c r="JZ18" s="13"/>
      <c r="KA18" s="13"/>
      <c r="KB18" s="13"/>
      <c r="KC18" s="13"/>
      <c r="KD18" s="13"/>
      <c r="KE18" s="13"/>
      <c r="KF18" s="13"/>
      <c r="KG18" s="13"/>
      <c r="KH18" s="13"/>
      <c r="KI18" s="13"/>
      <c r="KJ18" s="13"/>
      <c r="KK18" s="13"/>
      <c r="KL18" s="13"/>
      <c r="KM18" s="13"/>
      <c r="KN18" s="13"/>
      <c r="KO18" s="13"/>
      <c r="KP18" s="13"/>
      <c r="KQ18" s="13"/>
      <c r="KR18" s="13"/>
      <c r="KS18" s="13"/>
      <c r="KT18" s="13"/>
      <c r="KU18" s="13"/>
      <c r="KV18" s="13"/>
      <c r="KW18" s="13"/>
      <c r="KX18" s="13"/>
      <c r="KY18" s="13"/>
      <c r="KZ18" s="13"/>
      <c r="LA18" s="13"/>
      <c r="LB18" s="13"/>
      <c r="LC18" s="13"/>
      <c r="LD18" s="13"/>
      <c r="LE18" s="13"/>
      <c r="LF18" s="13"/>
      <c r="LG18" s="13"/>
      <c r="LH18" s="13"/>
      <c r="LI18" s="13"/>
      <c r="LJ18" s="13"/>
      <c r="LK18" s="13"/>
      <c r="LL18" s="13"/>
      <c r="LM18" s="13"/>
      <c r="LN18" s="13"/>
      <c r="LO18" s="13"/>
      <c r="LP18" s="13"/>
      <c r="LQ18" s="13"/>
      <c r="LR18" s="13"/>
      <c r="LS18" s="13"/>
      <c r="LT18" s="13"/>
      <c r="LU18" s="13"/>
      <c r="LV18" s="13"/>
      <c r="LW18" s="13"/>
      <c r="LX18" s="13"/>
      <c r="LY18" s="13"/>
      <c r="LZ18" s="13"/>
      <c r="MA18" s="13"/>
      <c r="MB18" s="13"/>
      <c r="MC18" s="13"/>
      <c r="MD18" s="13"/>
      <c r="ME18" s="13"/>
      <c r="MF18" s="13"/>
      <c r="MG18" s="13"/>
      <c r="MH18" s="13"/>
      <c r="MI18" s="13"/>
      <c r="MJ18" s="13"/>
      <c r="MK18" s="13"/>
      <c r="ML18" s="13"/>
      <c r="MM18" s="13"/>
      <c r="MN18" s="13"/>
      <c r="MO18" s="13"/>
      <c r="MP18" s="13"/>
      <c r="MQ18" s="13"/>
      <c r="MR18" s="13"/>
      <c r="MS18" s="13"/>
      <c r="MT18" s="13"/>
      <c r="MU18" s="13"/>
      <c r="MV18" s="13"/>
      <c r="MW18" s="13"/>
      <c r="MX18" s="13"/>
      <c r="MY18" s="13"/>
      <c r="MZ18" s="13"/>
      <c r="NA18" s="13"/>
      <c r="NB18" s="13"/>
      <c r="NC18" s="13"/>
      <c r="ND18" s="13"/>
      <c r="NE18" s="13"/>
      <c r="NF18" s="13"/>
      <c r="NG18" s="13"/>
      <c r="NH18" s="13"/>
      <c r="NI18" s="13"/>
      <c r="NJ18" s="13"/>
      <c r="NK18" s="13"/>
      <c r="NL18" s="13"/>
      <c r="NM18" s="13"/>
      <c r="NN18" s="13"/>
      <c r="NO18" s="13"/>
      <c r="NP18" s="13"/>
      <c r="NQ18" s="13"/>
      <c r="NR18" s="13"/>
      <c r="NS18" s="13"/>
      <c r="NT18" s="13"/>
      <c r="NU18" s="13"/>
      <c r="NV18" s="13"/>
      <c r="NW18" s="13"/>
      <c r="NX18" s="13"/>
      <c r="NY18" s="13"/>
      <c r="NZ18" s="13"/>
      <c r="OA18" s="13"/>
      <c r="OB18" s="13"/>
      <c r="OC18" s="13"/>
      <c r="OD18" s="13"/>
      <c r="OE18" s="13"/>
      <c r="OF18" s="13"/>
      <c r="OG18" s="13"/>
      <c r="OH18" s="13"/>
      <c r="OI18" s="13"/>
      <c r="OJ18" s="13"/>
      <c r="OK18" s="13"/>
      <c r="OL18" s="13"/>
      <c r="OM18" s="13"/>
      <c r="ON18" s="13"/>
      <c r="OO18" s="13"/>
      <c r="OP18" s="13"/>
      <c r="OQ18" s="13"/>
      <c r="OR18" s="13"/>
      <c r="OS18" s="13"/>
      <c r="OT18" s="13"/>
      <c r="OU18" s="13"/>
      <c r="OV18" s="13"/>
      <c r="OW18" s="13"/>
      <c r="OX18" s="13"/>
      <c r="OY18" s="13"/>
      <c r="OZ18" s="13"/>
      <c r="PA18" s="13"/>
      <c r="PB18" s="13"/>
      <c r="PC18" s="13"/>
      <c r="PD18" s="13"/>
      <c r="PE18" s="13"/>
      <c r="PF18" s="13"/>
      <c r="PG18" s="13"/>
      <c r="PH18" s="13"/>
      <c r="PI18" s="13"/>
      <c r="PJ18" s="13"/>
      <c r="PK18" s="13"/>
      <c r="PL18" s="13"/>
      <c r="PM18" s="13"/>
      <c r="PN18" s="13"/>
      <c r="PO18" s="13"/>
      <c r="PP18" s="13"/>
      <c r="PQ18" s="13"/>
      <c r="PR18" s="13"/>
      <c r="PS18" s="13"/>
      <c r="PT18" s="13"/>
      <c r="PU18" s="13"/>
      <c r="PV18" s="13"/>
      <c r="PW18" s="13"/>
      <c r="PX18" s="13"/>
      <c r="PY18" s="13"/>
      <c r="PZ18" s="13"/>
      <c r="QA18" s="13"/>
      <c r="QB18" s="13"/>
      <c r="QC18" s="13"/>
      <c r="QD18" s="13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13"/>
      <c r="QU18" s="13"/>
      <c r="QV18" s="13"/>
      <c r="QW18" s="13"/>
      <c r="QX18" s="13"/>
      <c r="QY18" s="13"/>
      <c r="QZ18" s="13"/>
      <c r="RA18" s="13"/>
      <c r="RB18" s="13"/>
      <c r="RC18" s="13"/>
      <c r="RD18" s="13"/>
      <c r="RE18" s="13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13"/>
      <c r="RS18" s="13"/>
      <c r="RT18" s="13"/>
      <c r="RU18" s="13"/>
      <c r="RV18" s="13"/>
      <c r="RW18" s="13"/>
      <c r="RX18" s="13"/>
      <c r="RY18" s="13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13"/>
      <c r="SP18" s="13"/>
      <c r="SQ18" s="13"/>
      <c r="SR18" s="13"/>
      <c r="SS18" s="13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13"/>
      <c r="UF18" s="13"/>
      <c r="UG18" s="13"/>
      <c r="UH18" s="13"/>
      <c r="UI18" s="13"/>
      <c r="UJ18" s="13"/>
      <c r="UK18" s="13"/>
      <c r="UL18" s="13"/>
      <c r="UM18" s="13"/>
      <c r="UN18" s="13"/>
      <c r="UO18" s="13"/>
      <c r="UP18" s="13"/>
      <c r="UQ18" s="13"/>
      <c r="UR18" s="13"/>
      <c r="US18" s="13"/>
      <c r="UT18" s="13"/>
      <c r="UU18" s="13"/>
      <c r="UV18" s="13"/>
      <c r="UW18" s="13"/>
      <c r="UX18" s="13"/>
      <c r="UY18" s="13"/>
      <c r="UZ18" s="13"/>
      <c r="VA18" s="13"/>
      <c r="VB18" s="13"/>
      <c r="VC18" s="13"/>
      <c r="VD18" s="13"/>
      <c r="VE18" s="13"/>
      <c r="VF18" s="13"/>
      <c r="VG18" s="13"/>
      <c r="VH18" s="13"/>
      <c r="VI18" s="13"/>
      <c r="VJ18" s="13"/>
      <c r="VK18" s="13"/>
      <c r="VL18" s="13"/>
      <c r="VM18" s="13"/>
      <c r="VN18" s="13"/>
      <c r="VO18" s="13"/>
      <c r="VP18" s="13"/>
      <c r="VQ18" s="13"/>
      <c r="VR18" s="13"/>
      <c r="VS18" s="13"/>
      <c r="VT18" s="13"/>
      <c r="VU18" s="13"/>
      <c r="VV18" s="13"/>
      <c r="VW18" s="13"/>
      <c r="VX18" s="13"/>
      <c r="VY18" s="13"/>
      <c r="VZ18" s="13"/>
      <c r="WA18" s="13"/>
      <c r="WB18" s="13"/>
      <c r="WC18" s="13"/>
      <c r="WD18" s="13"/>
      <c r="WE18" s="13"/>
      <c r="WF18" s="13"/>
      <c r="WG18" s="13"/>
      <c r="WH18" s="13"/>
      <c r="WI18" s="13"/>
      <c r="WJ18" s="13"/>
      <c r="WK18" s="13"/>
      <c r="WL18" s="13"/>
      <c r="WM18" s="13"/>
      <c r="WN18" s="13"/>
      <c r="WO18" s="13"/>
      <c r="WP18" s="13"/>
      <c r="WQ18" s="13"/>
      <c r="WR18" s="13"/>
      <c r="WS18" s="13"/>
      <c r="WT18" s="13"/>
      <c r="WU18" s="13"/>
      <c r="WV18" s="13"/>
      <c r="WW18" s="13"/>
      <c r="WX18" s="13"/>
      <c r="WY18" s="13"/>
      <c r="WZ18" s="13"/>
      <c r="XA18" s="13"/>
      <c r="XB18" s="13"/>
      <c r="XC18" s="13"/>
      <c r="XD18" s="13"/>
      <c r="XE18" s="13"/>
      <c r="XF18" s="13"/>
      <c r="XG18" s="13"/>
      <c r="XH18" s="13"/>
      <c r="XI18" s="13"/>
      <c r="XJ18" s="13"/>
      <c r="XK18" s="13"/>
      <c r="XL18" s="13"/>
      <c r="XM18" s="13"/>
      <c r="XN18" s="13"/>
      <c r="XO18" s="13"/>
      <c r="XP18" s="13"/>
      <c r="XQ18" s="13"/>
      <c r="XR18" s="13"/>
      <c r="XS18" s="13"/>
      <c r="XT18" s="13"/>
      <c r="XU18" s="13"/>
      <c r="XV18" s="13"/>
      <c r="XW18" s="13"/>
      <c r="XX18" s="13"/>
      <c r="XY18" s="13"/>
      <c r="XZ18" s="13"/>
      <c r="YA18" s="13"/>
      <c r="YB18" s="13"/>
      <c r="YC18" s="13"/>
      <c r="YD18" s="13"/>
      <c r="YE18" s="13"/>
      <c r="YF18" s="13"/>
      <c r="YG18" s="13"/>
      <c r="YH18" s="13"/>
      <c r="YI18" s="13"/>
      <c r="YJ18" s="13"/>
      <c r="YK18" s="13"/>
      <c r="YL18" s="13"/>
      <c r="YM18" s="13"/>
      <c r="YN18" s="13"/>
      <c r="YO18" s="13"/>
      <c r="YP18" s="13"/>
      <c r="YQ18" s="13"/>
      <c r="YR18" s="13"/>
      <c r="YS18" s="13"/>
      <c r="YT18" s="13"/>
      <c r="YU18" s="13"/>
      <c r="YV18" s="13"/>
      <c r="YW18" s="13"/>
      <c r="YX18" s="13"/>
      <c r="YY18" s="13"/>
      <c r="YZ18" s="13"/>
      <c r="ZA18" s="13"/>
      <c r="ZB18" s="13"/>
      <c r="ZC18" s="13"/>
      <c r="ZD18" s="13"/>
      <c r="ZE18" s="13"/>
      <c r="ZF18" s="13"/>
      <c r="ZG18" s="13"/>
      <c r="ZH18" s="13"/>
      <c r="ZI18" s="13"/>
      <c r="ZJ18" s="13"/>
      <c r="ZK18" s="13"/>
      <c r="ZL18" s="13"/>
      <c r="ZM18" s="13"/>
      <c r="ZN18" s="13"/>
      <c r="ZO18" s="13"/>
      <c r="ZP18" s="13"/>
      <c r="ZQ18" s="13"/>
      <c r="ZR18" s="13"/>
      <c r="ZS18" s="13"/>
      <c r="ZT18" s="13"/>
      <c r="ZU18" s="13"/>
      <c r="ZV18" s="13"/>
      <c r="ZW18" s="13"/>
      <c r="ZX18" s="13"/>
      <c r="ZY18" s="13"/>
      <c r="ZZ18" s="13"/>
      <c r="AAA18" s="13"/>
      <c r="AAB18" s="13"/>
      <c r="AAC18" s="13"/>
      <c r="AAD18" s="13"/>
      <c r="AAE18" s="13"/>
      <c r="AAF18" s="13"/>
      <c r="AAG18" s="13"/>
      <c r="AAH18" s="13"/>
      <c r="AAI18" s="13"/>
      <c r="AAJ18" s="13"/>
      <c r="AAK18" s="13"/>
      <c r="AAL18" s="13"/>
      <c r="AAM18" s="13"/>
      <c r="AAN18" s="13"/>
      <c r="AAO18" s="13"/>
      <c r="AAP18" s="13"/>
      <c r="AAQ18" s="13"/>
      <c r="AAR18" s="13"/>
      <c r="AAS18" s="13"/>
      <c r="AAT18" s="13"/>
      <c r="AAU18" s="13"/>
      <c r="AAV18" s="13"/>
      <c r="AAW18" s="13"/>
      <c r="AAX18" s="13"/>
      <c r="AAY18" s="13"/>
      <c r="AAZ18" s="13"/>
      <c r="ABA18" s="13"/>
      <c r="ABB18" s="13"/>
      <c r="ABC18" s="13"/>
      <c r="ABD18" s="13"/>
      <c r="ABE18" s="13"/>
      <c r="ABF18" s="13"/>
      <c r="ABG18" s="13"/>
      <c r="ABH18" s="13"/>
      <c r="ABI18" s="13"/>
      <c r="ABJ18" s="13"/>
      <c r="ABK18" s="13"/>
      <c r="ABL18" s="13"/>
      <c r="ABM18" s="13"/>
      <c r="ABN18" s="13"/>
      <c r="ABO18" s="13"/>
      <c r="ABP18" s="13"/>
      <c r="ABQ18" s="13"/>
      <c r="ABR18" s="13"/>
      <c r="ABS18" s="13"/>
      <c r="ABT18" s="13"/>
      <c r="ABU18" s="13"/>
      <c r="ABV18" s="13"/>
      <c r="ABW18" s="13"/>
      <c r="ABX18" s="13"/>
      <c r="ABY18" s="13"/>
      <c r="ABZ18" s="13"/>
      <c r="ACA18" s="13"/>
      <c r="ACB18" s="13"/>
      <c r="ACC18" s="13"/>
      <c r="ACD18" s="13"/>
      <c r="ACE18" s="13"/>
      <c r="ACF18" s="13"/>
      <c r="ACG18" s="13"/>
      <c r="ACH18" s="13"/>
      <c r="ACI18" s="13"/>
      <c r="ACJ18" s="13"/>
      <c r="ACK18" s="13"/>
      <c r="ACL18" s="13"/>
      <c r="ACM18" s="13"/>
      <c r="ACN18" s="13"/>
      <c r="ACO18" s="13"/>
      <c r="ACP18" s="13"/>
      <c r="ACQ18" s="13"/>
      <c r="ACR18" s="13"/>
      <c r="ACS18" s="13"/>
      <c r="ACT18" s="13"/>
      <c r="ACU18" s="13"/>
      <c r="ACV18" s="13"/>
      <c r="ACW18" s="13"/>
      <c r="ACX18" s="13"/>
      <c r="ACY18" s="13"/>
      <c r="ACZ18" s="13"/>
      <c r="ADA18" s="13"/>
      <c r="ADB18" s="13"/>
      <c r="ADC18" s="13"/>
      <c r="ADD18" s="13"/>
      <c r="ADE18" s="13"/>
      <c r="ADF18" s="13"/>
      <c r="ADG18" s="13"/>
      <c r="ADH18" s="13"/>
      <c r="ADI18" s="13"/>
      <c r="ADJ18" s="13"/>
      <c r="ADK18" s="13"/>
      <c r="ADL18" s="13"/>
      <c r="ADM18" s="13"/>
      <c r="ADN18" s="13"/>
      <c r="ADO18" s="13"/>
      <c r="ADP18" s="13"/>
      <c r="ADQ18" s="13"/>
      <c r="ADR18" s="13"/>
      <c r="ADS18" s="13"/>
      <c r="ADT18" s="13"/>
      <c r="ADU18" s="13"/>
      <c r="ADV18" s="13"/>
      <c r="ADW18" s="13"/>
      <c r="ADX18" s="13"/>
      <c r="ADY18" s="13"/>
      <c r="ADZ18" s="13"/>
      <c r="AEA18" s="13"/>
      <c r="AEB18" s="13"/>
      <c r="AEC18" s="13"/>
      <c r="AED18" s="13"/>
      <c r="AEE18" s="13"/>
      <c r="AEF18" s="13"/>
      <c r="AEG18" s="13"/>
      <c r="AEH18" s="13"/>
      <c r="AEI18" s="13"/>
      <c r="AEJ18" s="13"/>
      <c r="AEK18" s="13"/>
      <c r="AEL18" s="13"/>
      <c r="AEM18" s="13"/>
      <c r="AEN18" s="13"/>
      <c r="AEO18" s="13"/>
      <c r="AEP18" s="13"/>
      <c r="AEQ18" s="13"/>
      <c r="AER18" s="13"/>
      <c r="AES18" s="13"/>
      <c r="AET18" s="13"/>
      <c r="AEU18" s="13"/>
      <c r="AEV18" s="13"/>
      <c r="AEW18" s="13"/>
      <c r="AEX18" s="13"/>
      <c r="AEY18" s="13"/>
      <c r="AEZ18" s="13"/>
      <c r="AFA18" s="13"/>
      <c r="AFB18" s="13"/>
      <c r="AFC18" s="13"/>
      <c r="AFD18" s="13"/>
      <c r="AFE18" s="13"/>
      <c r="AFF18" s="13"/>
      <c r="AFG18" s="13"/>
      <c r="AFH18" s="13"/>
      <c r="AFI18" s="13"/>
      <c r="AFJ18" s="13"/>
      <c r="AFK18" s="13"/>
      <c r="AFL18" s="13"/>
      <c r="AFM18" s="13"/>
      <c r="AFN18" s="13"/>
      <c r="AFO18" s="13"/>
      <c r="AFP18" s="13"/>
      <c r="AFQ18" s="13"/>
      <c r="AFR18" s="13"/>
      <c r="AFS18" s="13"/>
      <c r="AFT18" s="13"/>
      <c r="AFU18" s="13"/>
      <c r="AFV18" s="13"/>
      <c r="AFW18" s="13"/>
      <c r="AFX18" s="13"/>
      <c r="AFY18" s="13"/>
      <c r="AFZ18" s="13"/>
      <c r="AGA18" s="13"/>
      <c r="AGB18" s="13"/>
      <c r="AGC18" s="13"/>
      <c r="AGD18" s="13"/>
      <c r="AGE18" s="13"/>
      <c r="AGF18" s="13"/>
      <c r="AGG18" s="13"/>
      <c r="AGH18" s="13"/>
      <c r="AGI18" s="13"/>
      <c r="AGJ18" s="13"/>
      <c r="AGK18" s="13"/>
      <c r="AGL18" s="13"/>
      <c r="AGM18" s="13"/>
      <c r="AGN18" s="13"/>
      <c r="AGO18" s="13"/>
      <c r="AGP18" s="13"/>
      <c r="AGQ18" s="13"/>
      <c r="AGR18" s="13"/>
      <c r="AGS18" s="13"/>
      <c r="AGT18" s="13"/>
      <c r="AGU18" s="13"/>
      <c r="AGV18" s="13"/>
      <c r="AGW18" s="13"/>
      <c r="AGX18" s="13"/>
      <c r="AGY18" s="13"/>
      <c r="AGZ18" s="13"/>
      <c r="AHA18" s="13"/>
      <c r="AHB18" s="13"/>
      <c r="AHC18" s="13"/>
      <c r="AHD18" s="13"/>
      <c r="AHE18" s="13"/>
      <c r="AHF18" s="13"/>
      <c r="AHG18" s="13"/>
      <c r="AHH18" s="13"/>
      <c r="AHI18" s="13"/>
      <c r="AHJ18" s="13"/>
      <c r="AHK18" s="13"/>
      <c r="AHL18" s="13"/>
      <c r="AHM18" s="13"/>
      <c r="AHN18" s="13"/>
      <c r="AHO18" s="13"/>
      <c r="AHP18" s="13"/>
      <c r="AHQ18" s="13"/>
      <c r="AHR18" s="13"/>
      <c r="AHS18" s="13"/>
      <c r="AHT18" s="13"/>
      <c r="AHU18" s="13"/>
      <c r="AHV18" s="13"/>
      <c r="AHW18" s="13"/>
      <c r="AHX18" s="13"/>
      <c r="AHY18" s="13"/>
      <c r="AHZ18" s="13"/>
      <c r="AIA18" s="13"/>
      <c r="AIB18" s="13"/>
      <c r="AIC18" s="13"/>
      <c r="AID18" s="13"/>
      <c r="AIE18" s="13"/>
      <c r="AIF18" s="13"/>
      <c r="AIG18" s="13"/>
      <c r="AIH18" s="13"/>
      <c r="AII18" s="13"/>
      <c r="AIJ18" s="13"/>
      <c r="AIK18" s="13"/>
      <c r="AIL18" s="13"/>
      <c r="AIM18" s="13"/>
      <c r="AIN18" s="13"/>
      <c r="AIO18" s="13"/>
      <c r="AIP18" s="13"/>
      <c r="AIQ18" s="13"/>
      <c r="AIR18" s="13"/>
      <c r="AIS18" s="13"/>
      <c r="AIT18" s="13"/>
      <c r="AIU18" s="13"/>
      <c r="AIV18" s="13"/>
      <c r="AIW18" s="13"/>
      <c r="AIX18" s="13"/>
      <c r="AIY18" s="13"/>
      <c r="AIZ18" s="13"/>
      <c r="AJA18" s="13"/>
      <c r="AJB18" s="13"/>
      <c r="AJC18" s="13"/>
      <c r="AJD18" s="13"/>
      <c r="AJE18" s="13"/>
      <c r="AJF18" s="13"/>
      <c r="AJG18" s="13"/>
      <c r="AJH18" s="13"/>
      <c r="AJI18" s="13"/>
      <c r="AJJ18" s="13"/>
      <c r="AJK18" s="13"/>
      <c r="AJL18" s="13"/>
      <c r="AJM18" s="13"/>
      <c r="AJN18" s="13"/>
      <c r="AJO18" s="13"/>
      <c r="AJP18" s="13"/>
      <c r="AJQ18" s="13"/>
      <c r="AJR18" s="13"/>
      <c r="AJS18" s="13"/>
      <c r="AJT18" s="13"/>
      <c r="AJU18" s="13"/>
      <c r="AJV18" s="13"/>
      <c r="AJW18" s="13"/>
      <c r="AJX18" s="13"/>
      <c r="AJY18" s="13"/>
      <c r="AJZ18" s="13"/>
      <c r="AKA18" s="13"/>
      <c r="AKB18" s="13"/>
      <c r="AKC18" s="13"/>
      <c r="AKD18" s="13"/>
      <c r="AKE18" s="13"/>
      <c r="AKF18" s="13"/>
      <c r="AKG18" s="13"/>
      <c r="AKH18" s="13"/>
      <c r="AKI18" s="13"/>
      <c r="AKJ18" s="13"/>
      <c r="AKK18" s="13"/>
      <c r="AKL18" s="13"/>
      <c r="AKM18" s="13"/>
      <c r="AKN18" s="13"/>
      <c r="AKO18" s="13"/>
      <c r="AKP18" s="13"/>
      <c r="AKQ18" s="13"/>
      <c r="AKR18" s="13"/>
      <c r="AKS18" s="13"/>
      <c r="AKT18" s="13"/>
      <c r="AKU18" s="13"/>
      <c r="AKV18" s="13"/>
      <c r="AKW18" s="13"/>
      <c r="AKX18" s="13"/>
      <c r="AKY18" s="13"/>
      <c r="AKZ18" s="13"/>
      <c r="ALA18" s="13"/>
      <c r="ALB18" s="13"/>
      <c r="ALC18" s="13"/>
      <c r="ALD18" s="13"/>
      <c r="ALE18" s="13"/>
      <c r="ALF18" s="13"/>
      <c r="ALG18" s="13"/>
      <c r="ALH18" s="13"/>
      <c r="ALI18" s="13"/>
      <c r="ALJ18" s="13"/>
      <c r="ALK18" s="13"/>
      <c r="ALL18" s="13"/>
      <c r="ALM18" s="13"/>
      <c r="ALN18" s="13"/>
      <c r="ALO18" s="13"/>
    </row>
    <row r="19" spans="1:1012" x14ac:dyDescent="0.35">
      <c r="A19" s="2" t="s">
        <v>6</v>
      </c>
      <c r="C19" s="3">
        <v>10</v>
      </c>
      <c r="D19" s="3"/>
      <c r="E19" s="73">
        <f>+'P11'!J17</f>
        <v>6000</v>
      </c>
      <c r="F19" s="144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13"/>
      <c r="HQ19" s="13"/>
      <c r="HR19" s="13"/>
      <c r="HS19" s="13"/>
      <c r="HT19" s="13"/>
      <c r="HU19" s="13"/>
      <c r="HV19" s="13"/>
      <c r="HW19" s="13"/>
      <c r="HX19" s="13"/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13"/>
      <c r="IK19" s="13"/>
      <c r="IL19" s="13"/>
      <c r="IM19" s="13"/>
      <c r="IN19" s="13"/>
      <c r="IO19" s="13"/>
      <c r="IP19" s="13"/>
      <c r="IQ19" s="13"/>
      <c r="IR19" s="13"/>
      <c r="IS19" s="13"/>
      <c r="IT19" s="13"/>
      <c r="IU19" s="13"/>
      <c r="IV19" s="13"/>
      <c r="IW19" s="13"/>
      <c r="IX19" s="13"/>
      <c r="IY19" s="13"/>
      <c r="IZ19" s="13"/>
      <c r="JA19" s="13"/>
      <c r="JB19" s="13"/>
      <c r="JC19" s="13"/>
      <c r="JD19" s="13"/>
      <c r="JE19" s="13"/>
      <c r="JF19" s="13"/>
      <c r="JG19" s="13"/>
      <c r="JH19" s="13"/>
      <c r="JI19" s="13"/>
      <c r="JJ19" s="13"/>
      <c r="JK19" s="13"/>
      <c r="JL19" s="13"/>
      <c r="JM19" s="13"/>
      <c r="JN19" s="13"/>
      <c r="JO19" s="13"/>
      <c r="JP19" s="13"/>
      <c r="JQ19" s="13"/>
      <c r="JR19" s="13"/>
      <c r="JS19" s="13"/>
      <c r="JT19" s="13"/>
      <c r="JU19" s="13"/>
      <c r="JV19" s="13"/>
      <c r="JW19" s="13"/>
      <c r="JX19" s="13"/>
      <c r="JY19" s="13"/>
      <c r="JZ19" s="13"/>
      <c r="KA19" s="13"/>
      <c r="KB19" s="13"/>
      <c r="KC19" s="13"/>
      <c r="KD19" s="13"/>
      <c r="KE19" s="13"/>
      <c r="KF19" s="13"/>
      <c r="KG19" s="13"/>
      <c r="KH19" s="13"/>
      <c r="KI19" s="13"/>
      <c r="KJ19" s="13"/>
      <c r="KK19" s="13"/>
      <c r="KL19" s="13"/>
      <c r="KM19" s="13"/>
      <c r="KN19" s="13"/>
      <c r="KO19" s="13"/>
      <c r="KP19" s="13"/>
      <c r="KQ19" s="13"/>
      <c r="KR19" s="13"/>
      <c r="KS19" s="13"/>
      <c r="KT19" s="13"/>
      <c r="KU19" s="13"/>
      <c r="KV19" s="13"/>
      <c r="KW19" s="13"/>
      <c r="KX19" s="13"/>
      <c r="KY19" s="13"/>
      <c r="KZ19" s="13"/>
      <c r="LA19" s="13"/>
      <c r="LB19" s="13"/>
      <c r="LC19" s="13"/>
      <c r="LD19" s="13"/>
      <c r="LE19" s="13"/>
      <c r="LF19" s="13"/>
      <c r="LG19" s="13"/>
      <c r="LH19" s="13"/>
      <c r="LI19" s="13"/>
      <c r="LJ19" s="13"/>
      <c r="LK19" s="13"/>
      <c r="LL19" s="13"/>
      <c r="LM19" s="13"/>
      <c r="LN19" s="13"/>
      <c r="LO19" s="13"/>
      <c r="LP19" s="13"/>
      <c r="LQ19" s="13"/>
      <c r="LR19" s="13"/>
      <c r="LS19" s="13"/>
      <c r="LT19" s="13"/>
      <c r="LU19" s="13"/>
      <c r="LV19" s="13"/>
      <c r="LW19" s="13"/>
      <c r="LX19" s="13"/>
      <c r="LY19" s="13"/>
      <c r="LZ19" s="13"/>
      <c r="MA19" s="13"/>
      <c r="MB19" s="13"/>
      <c r="MC19" s="13"/>
      <c r="MD19" s="13"/>
      <c r="ME19" s="13"/>
      <c r="MF19" s="13"/>
      <c r="MG19" s="13"/>
      <c r="MH19" s="13"/>
      <c r="MI19" s="13"/>
      <c r="MJ19" s="13"/>
      <c r="MK19" s="13"/>
      <c r="ML19" s="13"/>
      <c r="MM19" s="13"/>
      <c r="MN19" s="13"/>
      <c r="MO19" s="13"/>
      <c r="MP19" s="13"/>
      <c r="MQ19" s="13"/>
      <c r="MR19" s="13"/>
      <c r="MS19" s="13"/>
      <c r="MT19" s="13"/>
      <c r="MU19" s="13"/>
      <c r="MV19" s="13"/>
      <c r="MW19" s="13"/>
      <c r="MX19" s="13"/>
      <c r="MY19" s="13"/>
      <c r="MZ19" s="13"/>
      <c r="NA19" s="13"/>
      <c r="NB19" s="13"/>
      <c r="NC19" s="13"/>
      <c r="ND19" s="13"/>
      <c r="NE19" s="13"/>
      <c r="NF19" s="13"/>
      <c r="NG19" s="13"/>
      <c r="NH19" s="13"/>
      <c r="NI19" s="13"/>
      <c r="NJ19" s="13"/>
      <c r="NK19" s="13"/>
      <c r="NL19" s="13"/>
      <c r="NM19" s="13"/>
      <c r="NN19" s="13"/>
      <c r="NO19" s="13"/>
      <c r="NP19" s="13"/>
      <c r="NQ19" s="13"/>
      <c r="NR19" s="13"/>
      <c r="NS19" s="13"/>
      <c r="NT19" s="13"/>
      <c r="NU19" s="13"/>
      <c r="NV19" s="13"/>
      <c r="NW19" s="13"/>
      <c r="NX19" s="13"/>
      <c r="NY19" s="13"/>
      <c r="NZ19" s="13"/>
      <c r="OA19" s="13"/>
      <c r="OB19" s="13"/>
      <c r="OC19" s="13"/>
      <c r="OD19" s="13"/>
      <c r="OE19" s="13"/>
      <c r="OF19" s="13"/>
      <c r="OG19" s="13"/>
      <c r="OH19" s="13"/>
      <c r="OI19" s="13"/>
      <c r="OJ19" s="13"/>
      <c r="OK19" s="13"/>
      <c r="OL19" s="13"/>
      <c r="OM19" s="13"/>
      <c r="ON19" s="13"/>
      <c r="OO19" s="13"/>
      <c r="OP19" s="13"/>
      <c r="OQ19" s="13"/>
      <c r="OR19" s="13"/>
      <c r="OS19" s="13"/>
      <c r="OT19" s="13"/>
      <c r="OU19" s="13"/>
      <c r="OV19" s="13"/>
      <c r="OW19" s="13"/>
      <c r="OX19" s="13"/>
      <c r="OY19" s="13"/>
      <c r="OZ19" s="13"/>
      <c r="PA19" s="13"/>
      <c r="PB19" s="13"/>
      <c r="PC19" s="13"/>
      <c r="PD19" s="13"/>
      <c r="PE19" s="13"/>
      <c r="PF19" s="13"/>
      <c r="PG19" s="13"/>
      <c r="PH19" s="13"/>
      <c r="PI19" s="13"/>
      <c r="PJ19" s="13"/>
      <c r="PK19" s="13"/>
      <c r="PL19" s="13"/>
      <c r="PM19" s="13"/>
      <c r="PN19" s="13"/>
      <c r="PO19" s="13"/>
      <c r="PP19" s="13"/>
      <c r="PQ19" s="13"/>
      <c r="PR19" s="13"/>
      <c r="PS19" s="13"/>
      <c r="PT19" s="13"/>
      <c r="PU19" s="13"/>
      <c r="PV19" s="13"/>
      <c r="PW19" s="13"/>
      <c r="PX19" s="13"/>
      <c r="PY19" s="13"/>
      <c r="PZ19" s="13"/>
      <c r="QA19" s="13"/>
      <c r="QB19" s="13"/>
      <c r="QC19" s="13"/>
      <c r="QD19" s="13"/>
      <c r="QE19" s="13"/>
      <c r="QF19" s="13"/>
      <c r="QG19" s="13"/>
      <c r="QH19" s="13"/>
      <c r="QI19" s="13"/>
      <c r="QJ19" s="13"/>
      <c r="QK19" s="13"/>
      <c r="QL19" s="13"/>
      <c r="QM19" s="13"/>
      <c r="QN19" s="13"/>
      <c r="QO19" s="13"/>
      <c r="QP19" s="13"/>
      <c r="QQ19" s="13"/>
      <c r="QR19" s="13"/>
      <c r="QS19" s="13"/>
      <c r="QT19" s="13"/>
      <c r="QU19" s="13"/>
      <c r="QV19" s="13"/>
      <c r="QW19" s="13"/>
      <c r="QX19" s="13"/>
      <c r="QY19" s="13"/>
      <c r="QZ19" s="13"/>
      <c r="RA19" s="13"/>
      <c r="RB19" s="13"/>
      <c r="RC19" s="13"/>
      <c r="RD19" s="13"/>
      <c r="RE19" s="13"/>
      <c r="RF19" s="13"/>
      <c r="RG19" s="13"/>
      <c r="RH19" s="13"/>
      <c r="RI19" s="13"/>
      <c r="RJ19" s="13"/>
      <c r="RK19" s="13"/>
      <c r="RL19" s="13"/>
      <c r="RM19" s="13"/>
      <c r="RN19" s="13"/>
      <c r="RO19" s="13"/>
      <c r="RP19" s="13"/>
      <c r="RQ19" s="13"/>
      <c r="RR19" s="13"/>
      <c r="RS19" s="13"/>
      <c r="RT19" s="13"/>
      <c r="RU19" s="13"/>
      <c r="RV19" s="13"/>
      <c r="RW19" s="13"/>
      <c r="RX19" s="13"/>
      <c r="RY19" s="13"/>
      <c r="RZ19" s="13"/>
      <c r="SA19" s="13"/>
      <c r="SB19" s="13"/>
      <c r="SC19" s="13"/>
      <c r="SD19" s="13"/>
      <c r="SE19" s="13"/>
      <c r="SF19" s="13"/>
      <c r="SG19" s="13"/>
      <c r="SH19" s="13"/>
      <c r="SI19" s="13"/>
      <c r="SJ19" s="13"/>
      <c r="SK19" s="13"/>
      <c r="SL19" s="13"/>
      <c r="SM19" s="13"/>
      <c r="SN19" s="13"/>
      <c r="SO19" s="13"/>
      <c r="SP19" s="13"/>
      <c r="SQ19" s="13"/>
      <c r="SR19" s="13"/>
      <c r="SS19" s="13"/>
      <c r="ST19" s="13"/>
      <c r="SU19" s="13"/>
      <c r="SV19" s="13"/>
      <c r="SW19" s="13"/>
      <c r="SX19" s="13"/>
      <c r="SY19" s="13"/>
      <c r="SZ19" s="13"/>
      <c r="TA19" s="13"/>
      <c r="TB19" s="13"/>
      <c r="TC19" s="13"/>
      <c r="TD19" s="13"/>
      <c r="TE19" s="13"/>
      <c r="TF19" s="13"/>
      <c r="TG19" s="13"/>
      <c r="TH19" s="13"/>
      <c r="TI19" s="13"/>
      <c r="TJ19" s="13"/>
      <c r="TK19" s="13"/>
      <c r="TL19" s="13"/>
      <c r="TM19" s="13"/>
      <c r="TN19" s="13"/>
      <c r="TO19" s="13"/>
      <c r="TP19" s="13"/>
      <c r="TQ19" s="13"/>
      <c r="TR19" s="13"/>
      <c r="TS19" s="13"/>
      <c r="TT19" s="13"/>
      <c r="TU19" s="13"/>
      <c r="TV19" s="13"/>
      <c r="TW19" s="13"/>
      <c r="TX19" s="13"/>
      <c r="TY19" s="13"/>
      <c r="TZ19" s="13"/>
      <c r="UA19" s="13"/>
      <c r="UB19" s="13"/>
      <c r="UC19" s="13"/>
      <c r="UD19" s="13"/>
      <c r="UE19" s="13"/>
      <c r="UF19" s="13"/>
      <c r="UG19" s="13"/>
      <c r="UH19" s="13"/>
      <c r="UI19" s="13"/>
      <c r="UJ19" s="13"/>
      <c r="UK19" s="13"/>
      <c r="UL19" s="13"/>
      <c r="UM19" s="13"/>
      <c r="UN19" s="13"/>
      <c r="UO19" s="13"/>
      <c r="UP19" s="13"/>
      <c r="UQ19" s="13"/>
      <c r="UR19" s="13"/>
      <c r="US19" s="13"/>
      <c r="UT19" s="13"/>
      <c r="UU19" s="13"/>
      <c r="UV19" s="13"/>
      <c r="UW19" s="13"/>
      <c r="UX19" s="13"/>
      <c r="UY19" s="13"/>
      <c r="UZ19" s="13"/>
      <c r="VA19" s="13"/>
      <c r="VB19" s="13"/>
      <c r="VC19" s="13"/>
      <c r="VD19" s="13"/>
      <c r="VE19" s="13"/>
      <c r="VF19" s="13"/>
      <c r="VG19" s="13"/>
      <c r="VH19" s="13"/>
      <c r="VI19" s="13"/>
      <c r="VJ19" s="13"/>
      <c r="VK19" s="13"/>
      <c r="VL19" s="13"/>
      <c r="VM19" s="13"/>
      <c r="VN19" s="13"/>
      <c r="VO19" s="13"/>
      <c r="VP19" s="13"/>
      <c r="VQ19" s="13"/>
      <c r="VR19" s="13"/>
      <c r="VS19" s="13"/>
      <c r="VT19" s="13"/>
      <c r="VU19" s="13"/>
      <c r="VV19" s="13"/>
      <c r="VW19" s="13"/>
      <c r="VX19" s="13"/>
      <c r="VY19" s="13"/>
      <c r="VZ19" s="13"/>
      <c r="WA19" s="13"/>
      <c r="WB19" s="13"/>
      <c r="WC19" s="13"/>
      <c r="WD19" s="13"/>
      <c r="WE19" s="13"/>
      <c r="WF19" s="13"/>
      <c r="WG19" s="13"/>
      <c r="WH19" s="13"/>
      <c r="WI19" s="13"/>
      <c r="WJ19" s="13"/>
      <c r="WK19" s="13"/>
      <c r="WL19" s="13"/>
      <c r="WM19" s="13"/>
      <c r="WN19" s="13"/>
      <c r="WO19" s="13"/>
      <c r="WP19" s="13"/>
      <c r="WQ19" s="13"/>
      <c r="WR19" s="13"/>
      <c r="WS19" s="13"/>
      <c r="WT19" s="13"/>
      <c r="WU19" s="13"/>
      <c r="WV19" s="13"/>
      <c r="WW19" s="13"/>
      <c r="WX19" s="13"/>
      <c r="WY19" s="13"/>
      <c r="WZ19" s="13"/>
      <c r="XA19" s="13"/>
      <c r="XB19" s="13"/>
      <c r="XC19" s="13"/>
      <c r="XD19" s="13"/>
      <c r="XE19" s="13"/>
      <c r="XF19" s="13"/>
      <c r="XG19" s="13"/>
      <c r="XH19" s="13"/>
      <c r="XI19" s="13"/>
      <c r="XJ19" s="13"/>
      <c r="XK19" s="13"/>
      <c r="XL19" s="13"/>
      <c r="XM19" s="13"/>
      <c r="XN19" s="13"/>
      <c r="XO19" s="13"/>
      <c r="XP19" s="13"/>
      <c r="XQ19" s="13"/>
      <c r="XR19" s="13"/>
      <c r="XS19" s="13"/>
      <c r="XT19" s="13"/>
      <c r="XU19" s="13"/>
      <c r="XV19" s="13"/>
      <c r="XW19" s="13"/>
      <c r="XX19" s="13"/>
      <c r="XY19" s="13"/>
      <c r="XZ19" s="13"/>
      <c r="YA19" s="13"/>
      <c r="YB19" s="13"/>
      <c r="YC19" s="13"/>
      <c r="YD19" s="13"/>
      <c r="YE19" s="13"/>
      <c r="YF19" s="13"/>
      <c r="YG19" s="13"/>
      <c r="YH19" s="13"/>
      <c r="YI19" s="13"/>
      <c r="YJ19" s="13"/>
      <c r="YK19" s="13"/>
      <c r="YL19" s="13"/>
      <c r="YM19" s="13"/>
      <c r="YN19" s="13"/>
      <c r="YO19" s="13"/>
      <c r="YP19" s="13"/>
      <c r="YQ19" s="13"/>
      <c r="YR19" s="13"/>
      <c r="YS19" s="13"/>
      <c r="YT19" s="13"/>
      <c r="YU19" s="13"/>
      <c r="YV19" s="13"/>
      <c r="YW19" s="13"/>
      <c r="YX19" s="13"/>
      <c r="YY19" s="13"/>
      <c r="YZ19" s="13"/>
      <c r="ZA19" s="13"/>
      <c r="ZB19" s="13"/>
      <c r="ZC19" s="13"/>
      <c r="ZD19" s="13"/>
      <c r="ZE19" s="13"/>
      <c r="ZF19" s="13"/>
      <c r="ZG19" s="13"/>
      <c r="ZH19" s="13"/>
      <c r="ZI19" s="13"/>
      <c r="ZJ19" s="13"/>
      <c r="ZK19" s="13"/>
      <c r="ZL19" s="13"/>
      <c r="ZM19" s="13"/>
      <c r="ZN19" s="13"/>
      <c r="ZO19" s="13"/>
      <c r="ZP19" s="13"/>
      <c r="ZQ19" s="13"/>
      <c r="ZR19" s="13"/>
      <c r="ZS19" s="13"/>
      <c r="ZT19" s="13"/>
      <c r="ZU19" s="13"/>
      <c r="ZV19" s="13"/>
      <c r="ZW19" s="13"/>
      <c r="ZX19" s="13"/>
      <c r="ZY19" s="13"/>
      <c r="ZZ19" s="13"/>
      <c r="AAA19" s="13"/>
      <c r="AAB19" s="13"/>
      <c r="AAC19" s="13"/>
      <c r="AAD19" s="13"/>
      <c r="AAE19" s="13"/>
      <c r="AAF19" s="13"/>
      <c r="AAG19" s="13"/>
      <c r="AAH19" s="13"/>
      <c r="AAI19" s="13"/>
      <c r="AAJ19" s="13"/>
      <c r="AAK19" s="13"/>
      <c r="AAL19" s="13"/>
      <c r="AAM19" s="13"/>
      <c r="AAN19" s="13"/>
      <c r="AAO19" s="13"/>
      <c r="AAP19" s="13"/>
      <c r="AAQ19" s="13"/>
      <c r="AAR19" s="13"/>
      <c r="AAS19" s="13"/>
      <c r="AAT19" s="13"/>
      <c r="AAU19" s="13"/>
      <c r="AAV19" s="13"/>
      <c r="AAW19" s="13"/>
      <c r="AAX19" s="13"/>
      <c r="AAY19" s="13"/>
      <c r="AAZ19" s="13"/>
      <c r="ABA19" s="13"/>
      <c r="ABB19" s="13"/>
      <c r="ABC19" s="13"/>
      <c r="ABD19" s="13"/>
      <c r="ABE19" s="13"/>
      <c r="ABF19" s="13"/>
      <c r="ABG19" s="13"/>
      <c r="ABH19" s="13"/>
      <c r="ABI19" s="13"/>
      <c r="ABJ19" s="13"/>
      <c r="ABK19" s="13"/>
      <c r="ABL19" s="13"/>
      <c r="ABM19" s="13"/>
      <c r="ABN19" s="13"/>
      <c r="ABO19" s="13"/>
      <c r="ABP19" s="13"/>
      <c r="ABQ19" s="13"/>
      <c r="ABR19" s="13"/>
      <c r="ABS19" s="13"/>
      <c r="ABT19" s="13"/>
      <c r="ABU19" s="13"/>
      <c r="ABV19" s="13"/>
      <c r="ABW19" s="13"/>
      <c r="ABX19" s="13"/>
      <c r="ABY19" s="13"/>
      <c r="ABZ19" s="13"/>
      <c r="ACA19" s="13"/>
      <c r="ACB19" s="13"/>
      <c r="ACC19" s="13"/>
      <c r="ACD19" s="13"/>
      <c r="ACE19" s="13"/>
      <c r="ACF19" s="13"/>
      <c r="ACG19" s="13"/>
      <c r="ACH19" s="13"/>
      <c r="ACI19" s="13"/>
      <c r="ACJ19" s="13"/>
      <c r="ACK19" s="13"/>
      <c r="ACL19" s="13"/>
      <c r="ACM19" s="13"/>
      <c r="ACN19" s="13"/>
      <c r="ACO19" s="13"/>
      <c r="ACP19" s="13"/>
      <c r="ACQ19" s="13"/>
      <c r="ACR19" s="13"/>
      <c r="ACS19" s="13"/>
      <c r="ACT19" s="13"/>
      <c r="ACU19" s="13"/>
      <c r="ACV19" s="13"/>
      <c r="ACW19" s="13"/>
      <c r="ACX19" s="13"/>
      <c r="ACY19" s="13"/>
      <c r="ACZ19" s="13"/>
      <c r="ADA19" s="13"/>
      <c r="ADB19" s="13"/>
      <c r="ADC19" s="13"/>
      <c r="ADD19" s="13"/>
      <c r="ADE19" s="13"/>
      <c r="ADF19" s="13"/>
      <c r="ADG19" s="13"/>
      <c r="ADH19" s="13"/>
      <c r="ADI19" s="13"/>
      <c r="ADJ19" s="13"/>
      <c r="ADK19" s="13"/>
      <c r="ADL19" s="13"/>
      <c r="ADM19" s="13"/>
      <c r="ADN19" s="13"/>
      <c r="ADO19" s="13"/>
      <c r="ADP19" s="13"/>
      <c r="ADQ19" s="13"/>
      <c r="ADR19" s="13"/>
      <c r="ADS19" s="13"/>
      <c r="ADT19" s="13"/>
      <c r="ADU19" s="13"/>
      <c r="ADV19" s="13"/>
      <c r="ADW19" s="13"/>
      <c r="ADX19" s="13"/>
      <c r="ADY19" s="13"/>
      <c r="ADZ19" s="13"/>
      <c r="AEA19" s="13"/>
      <c r="AEB19" s="13"/>
      <c r="AEC19" s="13"/>
      <c r="AED19" s="13"/>
      <c r="AEE19" s="13"/>
      <c r="AEF19" s="13"/>
      <c r="AEG19" s="13"/>
      <c r="AEH19" s="13"/>
      <c r="AEI19" s="13"/>
      <c r="AEJ19" s="13"/>
      <c r="AEK19" s="13"/>
      <c r="AEL19" s="13"/>
      <c r="AEM19" s="13"/>
      <c r="AEN19" s="13"/>
      <c r="AEO19" s="13"/>
      <c r="AEP19" s="13"/>
      <c r="AEQ19" s="13"/>
      <c r="AER19" s="13"/>
      <c r="AES19" s="13"/>
      <c r="AET19" s="13"/>
      <c r="AEU19" s="13"/>
      <c r="AEV19" s="13"/>
      <c r="AEW19" s="13"/>
      <c r="AEX19" s="13"/>
      <c r="AEY19" s="13"/>
      <c r="AEZ19" s="13"/>
      <c r="AFA19" s="13"/>
      <c r="AFB19" s="13"/>
      <c r="AFC19" s="13"/>
      <c r="AFD19" s="13"/>
      <c r="AFE19" s="13"/>
      <c r="AFF19" s="13"/>
      <c r="AFG19" s="13"/>
      <c r="AFH19" s="13"/>
      <c r="AFI19" s="13"/>
      <c r="AFJ19" s="13"/>
      <c r="AFK19" s="13"/>
      <c r="AFL19" s="13"/>
      <c r="AFM19" s="13"/>
      <c r="AFN19" s="13"/>
      <c r="AFO19" s="13"/>
      <c r="AFP19" s="13"/>
      <c r="AFQ19" s="13"/>
      <c r="AFR19" s="13"/>
      <c r="AFS19" s="13"/>
      <c r="AFT19" s="13"/>
      <c r="AFU19" s="13"/>
      <c r="AFV19" s="13"/>
      <c r="AFW19" s="13"/>
      <c r="AFX19" s="13"/>
      <c r="AFY19" s="13"/>
      <c r="AFZ19" s="13"/>
      <c r="AGA19" s="13"/>
      <c r="AGB19" s="13"/>
      <c r="AGC19" s="13"/>
      <c r="AGD19" s="13"/>
      <c r="AGE19" s="13"/>
      <c r="AGF19" s="13"/>
      <c r="AGG19" s="13"/>
      <c r="AGH19" s="13"/>
      <c r="AGI19" s="13"/>
      <c r="AGJ19" s="13"/>
      <c r="AGK19" s="13"/>
      <c r="AGL19" s="13"/>
      <c r="AGM19" s="13"/>
      <c r="AGN19" s="13"/>
      <c r="AGO19" s="13"/>
      <c r="AGP19" s="13"/>
      <c r="AGQ19" s="13"/>
      <c r="AGR19" s="13"/>
      <c r="AGS19" s="13"/>
      <c r="AGT19" s="13"/>
      <c r="AGU19" s="13"/>
      <c r="AGV19" s="13"/>
      <c r="AGW19" s="13"/>
      <c r="AGX19" s="13"/>
      <c r="AGY19" s="13"/>
      <c r="AGZ19" s="13"/>
      <c r="AHA19" s="13"/>
      <c r="AHB19" s="13"/>
      <c r="AHC19" s="13"/>
      <c r="AHD19" s="13"/>
      <c r="AHE19" s="13"/>
      <c r="AHF19" s="13"/>
      <c r="AHG19" s="13"/>
      <c r="AHH19" s="13"/>
      <c r="AHI19" s="13"/>
      <c r="AHJ19" s="13"/>
      <c r="AHK19" s="13"/>
      <c r="AHL19" s="13"/>
      <c r="AHM19" s="13"/>
      <c r="AHN19" s="13"/>
      <c r="AHO19" s="13"/>
      <c r="AHP19" s="13"/>
      <c r="AHQ19" s="13"/>
      <c r="AHR19" s="13"/>
      <c r="AHS19" s="13"/>
      <c r="AHT19" s="13"/>
      <c r="AHU19" s="13"/>
      <c r="AHV19" s="13"/>
      <c r="AHW19" s="13"/>
      <c r="AHX19" s="13"/>
      <c r="AHY19" s="13"/>
      <c r="AHZ19" s="13"/>
      <c r="AIA19" s="13"/>
      <c r="AIB19" s="13"/>
      <c r="AIC19" s="13"/>
      <c r="AID19" s="13"/>
      <c r="AIE19" s="13"/>
      <c r="AIF19" s="13"/>
      <c r="AIG19" s="13"/>
      <c r="AIH19" s="13"/>
      <c r="AII19" s="13"/>
      <c r="AIJ19" s="13"/>
      <c r="AIK19" s="13"/>
      <c r="AIL19" s="13"/>
      <c r="AIM19" s="13"/>
      <c r="AIN19" s="13"/>
      <c r="AIO19" s="13"/>
      <c r="AIP19" s="13"/>
      <c r="AIQ19" s="13"/>
      <c r="AIR19" s="13"/>
      <c r="AIS19" s="13"/>
      <c r="AIT19" s="13"/>
      <c r="AIU19" s="13"/>
      <c r="AIV19" s="13"/>
      <c r="AIW19" s="13"/>
      <c r="AIX19" s="13"/>
      <c r="AIY19" s="13"/>
      <c r="AIZ19" s="13"/>
      <c r="AJA19" s="13"/>
      <c r="AJB19" s="13"/>
      <c r="AJC19" s="13"/>
      <c r="AJD19" s="13"/>
      <c r="AJE19" s="13"/>
      <c r="AJF19" s="13"/>
      <c r="AJG19" s="13"/>
      <c r="AJH19" s="13"/>
      <c r="AJI19" s="13"/>
      <c r="AJJ19" s="13"/>
      <c r="AJK19" s="13"/>
      <c r="AJL19" s="13"/>
      <c r="AJM19" s="13"/>
      <c r="AJN19" s="13"/>
      <c r="AJO19" s="13"/>
      <c r="AJP19" s="13"/>
      <c r="AJQ19" s="13"/>
      <c r="AJR19" s="13"/>
      <c r="AJS19" s="13"/>
      <c r="AJT19" s="13"/>
      <c r="AJU19" s="13"/>
      <c r="AJV19" s="13"/>
      <c r="AJW19" s="13"/>
      <c r="AJX19" s="13"/>
      <c r="AJY19" s="13"/>
      <c r="AJZ19" s="13"/>
      <c r="AKA19" s="13"/>
      <c r="AKB19" s="13"/>
      <c r="AKC19" s="13"/>
      <c r="AKD19" s="13"/>
      <c r="AKE19" s="13"/>
      <c r="AKF19" s="13"/>
      <c r="AKG19" s="13"/>
      <c r="AKH19" s="13"/>
      <c r="AKI19" s="13"/>
      <c r="AKJ19" s="13"/>
      <c r="AKK19" s="13"/>
      <c r="AKL19" s="13"/>
      <c r="AKM19" s="13"/>
      <c r="AKN19" s="13"/>
      <c r="AKO19" s="13"/>
      <c r="AKP19" s="13"/>
      <c r="AKQ19" s="13"/>
      <c r="AKR19" s="13"/>
      <c r="AKS19" s="13"/>
      <c r="AKT19" s="13"/>
      <c r="AKU19" s="13"/>
      <c r="AKV19" s="13"/>
      <c r="AKW19" s="13"/>
      <c r="AKX19" s="13"/>
      <c r="AKY19" s="13"/>
      <c r="AKZ19" s="13"/>
      <c r="ALA19" s="13"/>
      <c r="ALB19" s="13"/>
      <c r="ALC19" s="13"/>
      <c r="ALD19" s="13"/>
      <c r="ALE19" s="13"/>
      <c r="ALF19" s="13"/>
      <c r="ALG19" s="13"/>
      <c r="ALH19" s="13"/>
      <c r="ALI19" s="13"/>
      <c r="ALJ19" s="13"/>
      <c r="ALK19" s="13"/>
      <c r="ALL19" s="13"/>
      <c r="ALM19" s="13"/>
      <c r="ALN19" s="13"/>
      <c r="ALO19" s="13"/>
    </row>
    <row r="20" spans="1:1012" x14ac:dyDescent="0.35">
      <c r="A20" s="2" t="s">
        <v>7</v>
      </c>
      <c r="E20" s="73" t="e">
        <f>+CE!G13</f>
        <v>#REF!</v>
      </c>
      <c r="F20" s="144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13"/>
      <c r="JF20" s="13"/>
      <c r="JG20" s="13"/>
      <c r="JH20" s="13"/>
      <c r="JI20" s="13"/>
      <c r="JJ20" s="13"/>
      <c r="JK20" s="13"/>
      <c r="JL20" s="13"/>
      <c r="JM20" s="13"/>
      <c r="JN20" s="13"/>
      <c r="JO20" s="13"/>
      <c r="JP20" s="13"/>
      <c r="JQ20" s="13"/>
      <c r="JR20" s="13"/>
      <c r="JS20" s="13"/>
      <c r="JT20" s="13"/>
      <c r="JU20" s="13"/>
      <c r="JV20" s="13"/>
      <c r="JW20" s="13"/>
      <c r="JX20" s="13"/>
      <c r="JY20" s="13"/>
      <c r="JZ20" s="13"/>
      <c r="KA20" s="13"/>
      <c r="KB20" s="13"/>
      <c r="KC20" s="13"/>
      <c r="KD20" s="13"/>
      <c r="KE20" s="13"/>
      <c r="KF20" s="13"/>
      <c r="KG20" s="13"/>
      <c r="KH20" s="13"/>
      <c r="KI20" s="13"/>
      <c r="KJ20" s="13"/>
      <c r="KK20" s="13"/>
      <c r="KL20" s="13"/>
      <c r="KM20" s="13"/>
      <c r="KN20" s="13"/>
      <c r="KO20" s="13"/>
      <c r="KP20" s="13"/>
      <c r="KQ20" s="13"/>
      <c r="KR20" s="13"/>
      <c r="KS20" s="13"/>
      <c r="KT20" s="13"/>
      <c r="KU20" s="13"/>
      <c r="KV20" s="13"/>
      <c r="KW20" s="13"/>
      <c r="KX20" s="13"/>
      <c r="KY20" s="13"/>
      <c r="KZ20" s="13"/>
      <c r="LA20" s="13"/>
      <c r="LB20" s="13"/>
      <c r="LC20" s="13"/>
      <c r="LD20" s="13"/>
      <c r="LE20" s="13"/>
      <c r="LF20" s="13"/>
      <c r="LG20" s="13"/>
      <c r="LH20" s="13"/>
      <c r="LI20" s="13"/>
      <c r="LJ20" s="13"/>
      <c r="LK20" s="13"/>
      <c r="LL20" s="13"/>
      <c r="LM20" s="13"/>
      <c r="LN20" s="13"/>
      <c r="LO20" s="13"/>
      <c r="LP20" s="13"/>
      <c r="LQ20" s="13"/>
      <c r="LR20" s="13"/>
      <c r="LS20" s="13"/>
      <c r="LT20" s="13"/>
      <c r="LU20" s="13"/>
      <c r="LV20" s="13"/>
      <c r="LW20" s="13"/>
      <c r="LX20" s="13"/>
      <c r="LY20" s="13"/>
      <c r="LZ20" s="13"/>
      <c r="MA20" s="13"/>
      <c r="MB20" s="13"/>
      <c r="MC20" s="13"/>
      <c r="MD20" s="13"/>
      <c r="ME20" s="13"/>
      <c r="MF20" s="13"/>
      <c r="MG20" s="13"/>
      <c r="MH20" s="13"/>
      <c r="MI20" s="13"/>
      <c r="MJ20" s="13"/>
      <c r="MK20" s="13"/>
      <c r="ML20" s="13"/>
      <c r="MM20" s="13"/>
      <c r="MN20" s="13"/>
      <c r="MO20" s="13"/>
      <c r="MP20" s="13"/>
      <c r="MQ20" s="13"/>
      <c r="MR20" s="13"/>
      <c r="MS20" s="13"/>
      <c r="MT20" s="13"/>
      <c r="MU20" s="13"/>
      <c r="MV20" s="13"/>
      <c r="MW20" s="13"/>
      <c r="MX20" s="13"/>
      <c r="MY20" s="13"/>
      <c r="MZ20" s="13"/>
      <c r="NA20" s="13"/>
      <c r="NB20" s="13"/>
      <c r="NC20" s="13"/>
      <c r="ND20" s="13"/>
      <c r="NE20" s="13"/>
      <c r="NF20" s="13"/>
      <c r="NG20" s="13"/>
      <c r="NH20" s="13"/>
      <c r="NI20" s="13"/>
      <c r="NJ20" s="13"/>
      <c r="NK20" s="13"/>
      <c r="NL20" s="13"/>
      <c r="NM20" s="13"/>
      <c r="NN20" s="13"/>
      <c r="NO20" s="13"/>
      <c r="NP20" s="13"/>
      <c r="NQ20" s="13"/>
      <c r="NR20" s="13"/>
      <c r="NS20" s="13"/>
      <c r="NT20" s="13"/>
      <c r="NU20" s="13"/>
      <c r="NV20" s="13"/>
      <c r="NW20" s="13"/>
      <c r="NX20" s="13"/>
      <c r="NY20" s="13"/>
      <c r="NZ20" s="13"/>
      <c r="OA20" s="13"/>
      <c r="OB20" s="13"/>
      <c r="OC20" s="13"/>
      <c r="OD20" s="13"/>
      <c r="OE20" s="13"/>
      <c r="OF20" s="13"/>
      <c r="OG20" s="13"/>
      <c r="OH20" s="13"/>
      <c r="OI20" s="13"/>
      <c r="OJ20" s="13"/>
      <c r="OK20" s="13"/>
      <c r="OL20" s="13"/>
      <c r="OM20" s="13"/>
      <c r="ON20" s="13"/>
      <c r="OO20" s="13"/>
      <c r="OP20" s="13"/>
      <c r="OQ20" s="13"/>
      <c r="OR20" s="13"/>
      <c r="OS20" s="13"/>
      <c r="OT20" s="13"/>
      <c r="OU20" s="13"/>
      <c r="OV20" s="13"/>
      <c r="OW20" s="13"/>
      <c r="OX20" s="13"/>
      <c r="OY20" s="13"/>
      <c r="OZ20" s="13"/>
      <c r="PA20" s="13"/>
      <c r="PB20" s="13"/>
      <c r="PC20" s="13"/>
      <c r="PD20" s="13"/>
      <c r="PE20" s="13"/>
      <c r="PF20" s="13"/>
      <c r="PG20" s="13"/>
      <c r="PH20" s="13"/>
      <c r="PI20" s="13"/>
      <c r="PJ20" s="13"/>
      <c r="PK20" s="13"/>
      <c r="PL20" s="13"/>
      <c r="PM20" s="13"/>
      <c r="PN20" s="13"/>
      <c r="PO20" s="13"/>
      <c r="PP20" s="13"/>
      <c r="PQ20" s="13"/>
      <c r="PR20" s="13"/>
      <c r="PS20" s="13"/>
      <c r="PT20" s="13"/>
      <c r="PU20" s="13"/>
      <c r="PV20" s="13"/>
      <c r="PW20" s="13"/>
      <c r="PX20" s="13"/>
      <c r="PY20" s="13"/>
      <c r="PZ20" s="13"/>
      <c r="QA20" s="13"/>
      <c r="QB20" s="13"/>
      <c r="QC20" s="13"/>
      <c r="QD20" s="13"/>
      <c r="QE20" s="13"/>
      <c r="QF20" s="13"/>
      <c r="QG20" s="13"/>
      <c r="QH20" s="13"/>
      <c r="QI20" s="13"/>
      <c r="QJ20" s="13"/>
      <c r="QK20" s="13"/>
      <c r="QL20" s="13"/>
      <c r="QM20" s="13"/>
      <c r="QN20" s="13"/>
      <c r="QO20" s="13"/>
      <c r="QP20" s="13"/>
      <c r="QQ20" s="13"/>
      <c r="QR20" s="13"/>
      <c r="QS20" s="13"/>
      <c r="QT20" s="13"/>
      <c r="QU20" s="13"/>
      <c r="QV20" s="13"/>
      <c r="QW20" s="13"/>
      <c r="QX20" s="13"/>
      <c r="QY20" s="13"/>
      <c r="QZ20" s="13"/>
      <c r="RA20" s="13"/>
      <c r="RB20" s="13"/>
      <c r="RC20" s="13"/>
      <c r="RD20" s="13"/>
      <c r="RE20" s="13"/>
      <c r="RF20" s="13"/>
      <c r="RG20" s="13"/>
      <c r="RH20" s="13"/>
      <c r="RI20" s="13"/>
      <c r="RJ20" s="13"/>
      <c r="RK20" s="13"/>
      <c r="RL20" s="13"/>
      <c r="RM20" s="13"/>
      <c r="RN20" s="13"/>
      <c r="RO20" s="13"/>
      <c r="RP20" s="13"/>
      <c r="RQ20" s="13"/>
      <c r="RR20" s="13"/>
      <c r="RS20" s="13"/>
      <c r="RT20" s="13"/>
      <c r="RU20" s="13"/>
      <c r="RV20" s="13"/>
      <c r="RW20" s="13"/>
      <c r="RX20" s="13"/>
      <c r="RY20" s="13"/>
      <c r="RZ20" s="13"/>
      <c r="SA20" s="13"/>
      <c r="SB20" s="13"/>
      <c r="SC20" s="13"/>
      <c r="SD20" s="13"/>
      <c r="SE20" s="13"/>
      <c r="SF20" s="13"/>
      <c r="SG20" s="13"/>
      <c r="SH20" s="13"/>
      <c r="SI20" s="13"/>
      <c r="SJ20" s="13"/>
      <c r="SK20" s="13"/>
      <c r="SL20" s="13"/>
      <c r="SM20" s="13"/>
      <c r="SN20" s="13"/>
      <c r="SO20" s="13"/>
      <c r="SP20" s="13"/>
      <c r="SQ20" s="13"/>
      <c r="SR20" s="13"/>
      <c r="SS20" s="13"/>
      <c r="ST20" s="13"/>
      <c r="SU20" s="13"/>
      <c r="SV20" s="13"/>
      <c r="SW20" s="13"/>
      <c r="SX20" s="13"/>
      <c r="SY20" s="13"/>
      <c r="SZ20" s="13"/>
      <c r="TA20" s="13"/>
      <c r="TB20" s="13"/>
      <c r="TC20" s="13"/>
      <c r="TD20" s="13"/>
      <c r="TE20" s="13"/>
      <c r="TF20" s="13"/>
      <c r="TG20" s="13"/>
      <c r="TH20" s="13"/>
      <c r="TI20" s="13"/>
      <c r="TJ20" s="13"/>
      <c r="TK20" s="13"/>
      <c r="TL20" s="13"/>
      <c r="TM20" s="13"/>
      <c r="TN20" s="13"/>
      <c r="TO20" s="13"/>
      <c r="TP20" s="13"/>
      <c r="TQ20" s="13"/>
      <c r="TR20" s="13"/>
      <c r="TS20" s="13"/>
      <c r="TT20" s="13"/>
      <c r="TU20" s="13"/>
      <c r="TV20" s="13"/>
      <c r="TW20" s="13"/>
      <c r="TX20" s="13"/>
      <c r="TY20" s="13"/>
      <c r="TZ20" s="13"/>
      <c r="UA20" s="13"/>
      <c r="UB20" s="13"/>
      <c r="UC20" s="13"/>
      <c r="UD20" s="13"/>
      <c r="UE20" s="13"/>
      <c r="UF20" s="13"/>
      <c r="UG20" s="13"/>
      <c r="UH20" s="13"/>
      <c r="UI20" s="13"/>
      <c r="UJ20" s="13"/>
      <c r="UK20" s="13"/>
      <c r="UL20" s="13"/>
      <c r="UM20" s="13"/>
      <c r="UN20" s="13"/>
      <c r="UO20" s="13"/>
      <c r="UP20" s="13"/>
      <c r="UQ20" s="13"/>
      <c r="UR20" s="13"/>
      <c r="US20" s="13"/>
      <c r="UT20" s="13"/>
      <c r="UU20" s="13"/>
      <c r="UV20" s="13"/>
      <c r="UW20" s="13"/>
      <c r="UX20" s="13"/>
      <c r="UY20" s="13"/>
      <c r="UZ20" s="13"/>
      <c r="VA20" s="13"/>
      <c r="VB20" s="13"/>
      <c r="VC20" s="13"/>
      <c r="VD20" s="13"/>
      <c r="VE20" s="13"/>
      <c r="VF20" s="13"/>
      <c r="VG20" s="13"/>
      <c r="VH20" s="13"/>
      <c r="VI20" s="13"/>
      <c r="VJ20" s="13"/>
      <c r="VK20" s="13"/>
      <c r="VL20" s="13"/>
      <c r="VM20" s="13"/>
      <c r="VN20" s="13"/>
      <c r="VO20" s="13"/>
      <c r="VP20" s="13"/>
      <c r="VQ20" s="13"/>
      <c r="VR20" s="13"/>
      <c r="VS20" s="13"/>
      <c r="VT20" s="13"/>
      <c r="VU20" s="13"/>
      <c r="VV20" s="13"/>
      <c r="VW20" s="13"/>
      <c r="VX20" s="13"/>
      <c r="VY20" s="13"/>
      <c r="VZ20" s="13"/>
      <c r="WA20" s="13"/>
      <c r="WB20" s="13"/>
      <c r="WC20" s="13"/>
      <c r="WD20" s="13"/>
      <c r="WE20" s="13"/>
      <c r="WF20" s="13"/>
      <c r="WG20" s="13"/>
      <c r="WH20" s="13"/>
      <c r="WI20" s="13"/>
      <c r="WJ20" s="13"/>
      <c r="WK20" s="13"/>
      <c r="WL20" s="13"/>
      <c r="WM20" s="13"/>
      <c r="WN20" s="13"/>
      <c r="WO20" s="13"/>
      <c r="WP20" s="13"/>
      <c r="WQ20" s="13"/>
      <c r="WR20" s="13"/>
      <c r="WS20" s="13"/>
      <c r="WT20" s="13"/>
      <c r="WU20" s="13"/>
      <c r="WV20" s="13"/>
      <c r="WW20" s="13"/>
      <c r="WX20" s="13"/>
      <c r="WY20" s="13"/>
      <c r="WZ20" s="13"/>
      <c r="XA20" s="13"/>
      <c r="XB20" s="13"/>
      <c r="XC20" s="13"/>
      <c r="XD20" s="13"/>
      <c r="XE20" s="13"/>
      <c r="XF20" s="13"/>
      <c r="XG20" s="13"/>
      <c r="XH20" s="13"/>
      <c r="XI20" s="13"/>
      <c r="XJ20" s="13"/>
      <c r="XK20" s="13"/>
      <c r="XL20" s="13"/>
      <c r="XM20" s="13"/>
      <c r="XN20" s="13"/>
      <c r="XO20" s="13"/>
      <c r="XP20" s="13"/>
      <c r="XQ20" s="13"/>
      <c r="XR20" s="13"/>
      <c r="XS20" s="13"/>
      <c r="XT20" s="13"/>
      <c r="XU20" s="13"/>
      <c r="XV20" s="13"/>
      <c r="XW20" s="13"/>
      <c r="XX20" s="13"/>
      <c r="XY20" s="13"/>
      <c r="XZ20" s="13"/>
      <c r="YA20" s="13"/>
      <c r="YB20" s="13"/>
      <c r="YC20" s="13"/>
      <c r="YD20" s="13"/>
      <c r="YE20" s="13"/>
      <c r="YF20" s="13"/>
      <c r="YG20" s="13"/>
      <c r="YH20" s="13"/>
      <c r="YI20" s="13"/>
      <c r="YJ20" s="13"/>
      <c r="YK20" s="13"/>
      <c r="YL20" s="13"/>
      <c r="YM20" s="13"/>
      <c r="YN20" s="13"/>
      <c r="YO20" s="13"/>
      <c r="YP20" s="13"/>
      <c r="YQ20" s="13"/>
      <c r="YR20" s="13"/>
      <c r="YS20" s="13"/>
      <c r="YT20" s="13"/>
      <c r="YU20" s="13"/>
      <c r="YV20" s="13"/>
      <c r="YW20" s="13"/>
      <c r="YX20" s="13"/>
      <c r="YY20" s="13"/>
      <c r="YZ20" s="13"/>
      <c r="ZA20" s="13"/>
      <c r="ZB20" s="13"/>
      <c r="ZC20" s="13"/>
      <c r="ZD20" s="13"/>
      <c r="ZE20" s="13"/>
      <c r="ZF20" s="13"/>
      <c r="ZG20" s="13"/>
      <c r="ZH20" s="13"/>
      <c r="ZI20" s="13"/>
      <c r="ZJ20" s="13"/>
      <c r="ZK20" s="13"/>
      <c r="ZL20" s="13"/>
      <c r="ZM20" s="13"/>
      <c r="ZN20" s="13"/>
      <c r="ZO20" s="13"/>
      <c r="ZP20" s="13"/>
      <c r="ZQ20" s="13"/>
      <c r="ZR20" s="13"/>
      <c r="ZS20" s="13"/>
      <c r="ZT20" s="13"/>
      <c r="ZU20" s="13"/>
      <c r="ZV20" s="13"/>
      <c r="ZW20" s="13"/>
      <c r="ZX20" s="13"/>
      <c r="ZY20" s="13"/>
      <c r="ZZ20" s="13"/>
      <c r="AAA20" s="13"/>
      <c r="AAB20" s="13"/>
      <c r="AAC20" s="13"/>
      <c r="AAD20" s="13"/>
      <c r="AAE20" s="13"/>
      <c r="AAF20" s="13"/>
      <c r="AAG20" s="13"/>
      <c r="AAH20" s="13"/>
      <c r="AAI20" s="13"/>
      <c r="AAJ20" s="13"/>
      <c r="AAK20" s="13"/>
      <c r="AAL20" s="13"/>
      <c r="AAM20" s="13"/>
      <c r="AAN20" s="13"/>
      <c r="AAO20" s="13"/>
      <c r="AAP20" s="13"/>
      <c r="AAQ20" s="13"/>
      <c r="AAR20" s="13"/>
      <c r="AAS20" s="13"/>
      <c r="AAT20" s="13"/>
      <c r="AAU20" s="13"/>
      <c r="AAV20" s="13"/>
      <c r="AAW20" s="13"/>
      <c r="AAX20" s="13"/>
      <c r="AAY20" s="13"/>
      <c r="AAZ20" s="13"/>
      <c r="ABA20" s="13"/>
      <c r="ABB20" s="13"/>
      <c r="ABC20" s="13"/>
      <c r="ABD20" s="13"/>
      <c r="ABE20" s="13"/>
      <c r="ABF20" s="13"/>
      <c r="ABG20" s="13"/>
      <c r="ABH20" s="13"/>
      <c r="ABI20" s="13"/>
      <c r="ABJ20" s="13"/>
      <c r="ABK20" s="13"/>
      <c r="ABL20" s="13"/>
      <c r="ABM20" s="13"/>
      <c r="ABN20" s="13"/>
      <c r="ABO20" s="13"/>
      <c r="ABP20" s="13"/>
      <c r="ABQ20" s="13"/>
      <c r="ABR20" s="13"/>
      <c r="ABS20" s="13"/>
      <c r="ABT20" s="13"/>
      <c r="ABU20" s="13"/>
      <c r="ABV20" s="13"/>
      <c r="ABW20" s="13"/>
      <c r="ABX20" s="13"/>
      <c r="ABY20" s="13"/>
      <c r="ABZ20" s="13"/>
      <c r="ACA20" s="13"/>
      <c r="ACB20" s="13"/>
      <c r="ACC20" s="13"/>
      <c r="ACD20" s="13"/>
      <c r="ACE20" s="13"/>
      <c r="ACF20" s="13"/>
      <c r="ACG20" s="13"/>
      <c r="ACH20" s="13"/>
      <c r="ACI20" s="13"/>
      <c r="ACJ20" s="13"/>
      <c r="ACK20" s="13"/>
      <c r="ACL20" s="13"/>
      <c r="ACM20" s="13"/>
      <c r="ACN20" s="13"/>
      <c r="ACO20" s="13"/>
      <c r="ACP20" s="13"/>
      <c r="ACQ20" s="13"/>
      <c r="ACR20" s="13"/>
      <c r="ACS20" s="13"/>
      <c r="ACT20" s="13"/>
      <c r="ACU20" s="13"/>
      <c r="ACV20" s="13"/>
      <c r="ACW20" s="13"/>
      <c r="ACX20" s="13"/>
      <c r="ACY20" s="13"/>
      <c r="ACZ20" s="13"/>
      <c r="ADA20" s="13"/>
      <c r="ADB20" s="13"/>
      <c r="ADC20" s="13"/>
      <c r="ADD20" s="13"/>
      <c r="ADE20" s="13"/>
      <c r="ADF20" s="13"/>
      <c r="ADG20" s="13"/>
      <c r="ADH20" s="13"/>
      <c r="ADI20" s="13"/>
      <c r="ADJ20" s="13"/>
      <c r="ADK20" s="13"/>
      <c r="ADL20" s="13"/>
      <c r="ADM20" s="13"/>
      <c r="ADN20" s="13"/>
      <c r="ADO20" s="13"/>
      <c r="ADP20" s="13"/>
      <c r="ADQ20" s="13"/>
      <c r="ADR20" s="13"/>
      <c r="ADS20" s="13"/>
      <c r="ADT20" s="13"/>
      <c r="ADU20" s="13"/>
      <c r="ADV20" s="13"/>
      <c r="ADW20" s="13"/>
      <c r="ADX20" s="13"/>
      <c r="ADY20" s="13"/>
      <c r="ADZ20" s="13"/>
      <c r="AEA20" s="13"/>
      <c r="AEB20" s="13"/>
      <c r="AEC20" s="13"/>
      <c r="AED20" s="13"/>
      <c r="AEE20" s="13"/>
      <c r="AEF20" s="13"/>
      <c r="AEG20" s="13"/>
      <c r="AEH20" s="13"/>
      <c r="AEI20" s="13"/>
      <c r="AEJ20" s="13"/>
      <c r="AEK20" s="13"/>
      <c r="AEL20" s="13"/>
      <c r="AEM20" s="13"/>
      <c r="AEN20" s="13"/>
      <c r="AEO20" s="13"/>
      <c r="AEP20" s="13"/>
      <c r="AEQ20" s="13"/>
      <c r="AER20" s="13"/>
      <c r="AES20" s="13"/>
      <c r="AET20" s="13"/>
      <c r="AEU20" s="13"/>
      <c r="AEV20" s="13"/>
      <c r="AEW20" s="13"/>
      <c r="AEX20" s="13"/>
      <c r="AEY20" s="13"/>
      <c r="AEZ20" s="13"/>
      <c r="AFA20" s="13"/>
      <c r="AFB20" s="13"/>
      <c r="AFC20" s="13"/>
      <c r="AFD20" s="13"/>
      <c r="AFE20" s="13"/>
      <c r="AFF20" s="13"/>
      <c r="AFG20" s="13"/>
      <c r="AFH20" s="13"/>
      <c r="AFI20" s="13"/>
      <c r="AFJ20" s="13"/>
      <c r="AFK20" s="13"/>
      <c r="AFL20" s="13"/>
      <c r="AFM20" s="13"/>
      <c r="AFN20" s="13"/>
      <c r="AFO20" s="13"/>
      <c r="AFP20" s="13"/>
      <c r="AFQ20" s="13"/>
      <c r="AFR20" s="13"/>
      <c r="AFS20" s="13"/>
      <c r="AFT20" s="13"/>
      <c r="AFU20" s="13"/>
      <c r="AFV20" s="13"/>
      <c r="AFW20" s="13"/>
      <c r="AFX20" s="13"/>
      <c r="AFY20" s="13"/>
      <c r="AFZ20" s="13"/>
      <c r="AGA20" s="13"/>
      <c r="AGB20" s="13"/>
      <c r="AGC20" s="13"/>
      <c r="AGD20" s="13"/>
      <c r="AGE20" s="13"/>
      <c r="AGF20" s="13"/>
      <c r="AGG20" s="13"/>
      <c r="AGH20" s="13"/>
      <c r="AGI20" s="13"/>
      <c r="AGJ20" s="13"/>
      <c r="AGK20" s="13"/>
      <c r="AGL20" s="13"/>
      <c r="AGM20" s="13"/>
      <c r="AGN20" s="13"/>
      <c r="AGO20" s="13"/>
      <c r="AGP20" s="13"/>
      <c r="AGQ20" s="13"/>
      <c r="AGR20" s="13"/>
      <c r="AGS20" s="13"/>
      <c r="AGT20" s="13"/>
      <c r="AGU20" s="13"/>
      <c r="AGV20" s="13"/>
      <c r="AGW20" s="13"/>
      <c r="AGX20" s="13"/>
      <c r="AGY20" s="13"/>
      <c r="AGZ20" s="13"/>
      <c r="AHA20" s="13"/>
      <c r="AHB20" s="13"/>
      <c r="AHC20" s="13"/>
      <c r="AHD20" s="13"/>
      <c r="AHE20" s="13"/>
      <c r="AHF20" s="13"/>
      <c r="AHG20" s="13"/>
      <c r="AHH20" s="13"/>
      <c r="AHI20" s="13"/>
      <c r="AHJ20" s="13"/>
      <c r="AHK20" s="13"/>
      <c r="AHL20" s="13"/>
      <c r="AHM20" s="13"/>
      <c r="AHN20" s="13"/>
      <c r="AHO20" s="13"/>
      <c r="AHP20" s="13"/>
      <c r="AHQ20" s="13"/>
      <c r="AHR20" s="13"/>
      <c r="AHS20" s="13"/>
      <c r="AHT20" s="13"/>
      <c r="AHU20" s="13"/>
      <c r="AHV20" s="13"/>
      <c r="AHW20" s="13"/>
      <c r="AHX20" s="13"/>
      <c r="AHY20" s="13"/>
      <c r="AHZ20" s="13"/>
      <c r="AIA20" s="13"/>
      <c r="AIB20" s="13"/>
      <c r="AIC20" s="13"/>
      <c r="AID20" s="13"/>
      <c r="AIE20" s="13"/>
      <c r="AIF20" s="13"/>
      <c r="AIG20" s="13"/>
      <c r="AIH20" s="13"/>
      <c r="AII20" s="13"/>
      <c r="AIJ20" s="13"/>
      <c r="AIK20" s="13"/>
      <c r="AIL20" s="13"/>
      <c r="AIM20" s="13"/>
      <c r="AIN20" s="13"/>
      <c r="AIO20" s="13"/>
      <c r="AIP20" s="13"/>
      <c r="AIQ20" s="13"/>
      <c r="AIR20" s="13"/>
      <c r="AIS20" s="13"/>
      <c r="AIT20" s="13"/>
      <c r="AIU20" s="13"/>
      <c r="AIV20" s="13"/>
      <c r="AIW20" s="13"/>
      <c r="AIX20" s="13"/>
      <c r="AIY20" s="13"/>
      <c r="AIZ20" s="13"/>
      <c r="AJA20" s="13"/>
      <c r="AJB20" s="13"/>
      <c r="AJC20" s="13"/>
      <c r="AJD20" s="13"/>
      <c r="AJE20" s="13"/>
      <c r="AJF20" s="13"/>
      <c r="AJG20" s="13"/>
      <c r="AJH20" s="13"/>
      <c r="AJI20" s="13"/>
      <c r="AJJ20" s="13"/>
      <c r="AJK20" s="13"/>
      <c r="AJL20" s="13"/>
      <c r="AJM20" s="13"/>
      <c r="AJN20" s="13"/>
      <c r="AJO20" s="13"/>
      <c r="AJP20" s="13"/>
      <c r="AJQ20" s="13"/>
      <c r="AJR20" s="13"/>
      <c r="AJS20" s="13"/>
      <c r="AJT20" s="13"/>
      <c r="AJU20" s="13"/>
      <c r="AJV20" s="13"/>
      <c r="AJW20" s="13"/>
      <c r="AJX20" s="13"/>
      <c r="AJY20" s="13"/>
      <c r="AJZ20" s="13"/>
      <c r="AKA20" s="13"/>
      <c r="AKB20" s="13"/>
      <c r="AKC20" s="13"/>
      <c r="AKD20" s="13"/>
      <c r="AKE20" s="13"/>
      <c r="AKF20" s="13"/>
      <c r="AKG20" s="13"/>
      <c r="AKH20" s="13"/>
      <c r="AKI20" s="13"/>
      <c r="AKJ20" s="13"/>
      <c r="AKK20" s="13"/>
      <c r="AKL20" s="13"/>
      <c r="AKM20" s="13"/>
      <c r="AKN20" s="13"/>
      <c r="AKO20" s="13"/>
      <c r="AKP20" s="13"/>
      <c r="AKQ20" s="13"/>
      <c r="AKR20" s="13"/>
      <c r="AKS20" s="13"/>
      <c r="AKT20" s="13"/>
      <c r="AKU20" s="13"/>
      <c r="AKV20" s="13"/>
      <c r="AKW20" s="13"/>
      <c r="AKX20" s="13"/>
      <c r="AKY20" s="13"/>
      <c r="AKZ20" s="13"/>
      <c r="ALA20" s="13"/>
      <c r="ALB20" s="13"/>
      <c r="ALC20" s="13"/>
      <c r="ALD20" s="13"/>
      <c r="ALE20" s="13"/>
      <c r="ALF20" s="13"/>
      <c r="ALG20" s="13"/>
      <c r="ALH20" s="13"/>
      <c r="ALI20" s="13"/>
      <c r="ALJ20" s="13"/>
      <c r="ALK20" s="13"/>
      <c r="ALL20" s="13"/>
      <c r="ALM20" s="13"/>
      <c r="ALN20" s="13"/>
      <c r="ALO20" s="13"/>
    </row>
    <row r="21" spans="1:1012" x14ac:dyDescent="0.35">
      <c r="E21" s="126" t="e">
        <f>SUM(E19:E20)</f>
        <v>#REF!</v>
      </c>
      <c r="F21" s="144"/>
      <c r="J21" s="6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13"/>
      <c r="JF21" s="13"/>
      <c r="JG21" s="13"/>
      <c r="JH21" s="13"/>
      <c r="JI21" s="13"/>
      <c r="JJ21" s="13"/>
      <c r="JK21" s="13"/>
      <c r="JL21" s="13"/>
      <c r="JM21" s="13"/>
      <c r="JN21" s="13"/>
      <c r="JO21" s="13"/>
      <c r="JP21" s="13"/>
      <c r="JQ21" s="13"/>
      <c r="JR21" s="13"/>
      <c r="JS21" s="13"/>
      <c r="JT21" s="13"/>
      <c r="JU21" s="13"/>
      <c r="JV21" s="13"/>
      <c r="JW21" s="13"/>
      <c r="JX21" s="13"/>
      <c r="JY21" s="13"/>
      <c r="JZ21" s="13"/>
      <c r="KA21" s="13"/>
      <c r="KB21" s="13"/>
      <c r="KC21" s="13"/>
      <c r="KD21" s="13"/>
      <c r="KE21" s="13"/>
      <c r="KF21" s="13"/>
      <c r="KG21" s="13"/>
      <c r="KH21" s="13"/>
      <c r="KI21" s="13"/>
      <c r="KJ21" s="13"/>
      <c r="KK21" s="13"/>
      <c r="KL21" s="13"/>
      <c r="KM21" s="13"/>
      <c r="KN21" s="13"/>
      <c r="KO21" s="13"/>
      <c r="KP21" s="13"/>
      <c r="KQ21" s="13"/>
      <c r="KR21" s="13"/>
      <c r="KS21" s="13"/>
      <c r="KT21" s="13"/>
      <c r="KU21" s="13"/>
      <c r="KV21" s="13"/>
      <c r="KW21" s="13"/>
      <c r="KX21" s="13"/>
      <c r="KY21" s="13"/>
      <c r="KZ21" s="13"/>
      <c r="LA21" s="13"/>
      <c r="LB21" s="13"/>
      <c r="LC21" s="13"/>
      <c r="LD21" s="13"/>
      <c r="LE21" s="13"/>
      <c r="LF21" s="13"/>
      <c r="LG21" s="13"/>
      <c r="LH21" s="13"/>
      <c r="LI21" s="13"/>
      <c r="LJ21" s="13"/>
      <c r="LK21" s="13"/>
      <c r="LL21" s="13"/>
      <c r="LM21" s="13"/>
      <c r="LN21" s="13"/>
      <c r="LO21" s="13"/>
      <c r="LP21" s="13"/>
      <c r="LQ21" s="13"/>
      <c r="LR21" s="13"/>
      <c r="LS21" s="13"/>
      <c r="LT21" s="13"/>
      <c r="LU21" s="13"/>
      <c r="LV21" s="13"/>
      <c r="LW21" s="13"/>
      <c r="LX21" s="13"/>
      <c r="LY21" s="13"/>
      <c r="LZ21" s="13"/>
      <c r="MA21" s="13"/>
      <c r="MB21" s="13"/>
      <c r="MC21" s="13"/>
      <c r="MD21" s="13"/>
      <c r="ME21" s="13"/>
      <c r="MF21" s="13"/>
      <c r="MG21" s="13"/>
      <c r="MH21" s="13"/>
      <c r="MI21" s="13"/>
      <c r="MJ21" s="13"/>
      <c r="MK21" s="13"/>
      <c r="ML21" s="13"/>
      <c r="MM21" s="13"/>
      <c r="MN21" s="13"/>
      <c r="MO21" s="13"/>
      <c r="MP21" s="13"/>
      <c r="MQ21" s="13"/>
      <c r="MR21" s="13"/>
      <c r="MS21" s="13"/>
      <c r="MT21" s="13"/>
      <c r="MU21" s="13"/>
      <c r="MV21" s="13"/>
      <c r="MW21" s="13"/>
      <c r="MX21" s="13"/>
      <c r="MY21" s="13"/>
      <c r="MZ21" s="13"/>
      <c r="NA21" s="13"/>
      <c r="NB21" s="13"/>
      <c r="NC21" s="13"/>
      <c r="ND21" s="13"/>
      <c r="NE21" s="13"/>
      <c r="NF21" s="13"/>
      <c r="NG21" s="13"/>
      <c r="NH21" s="13"/>
      <c r="NI21" s="13"/>
      <c r="NJ21" s="13"/>
      <c r="NK21" s="13"/>
      <c r="NL21" s="13"/>
      <c r="NM21" s="13"/>
      <c r="NN21" s="13"/>
      <c r="NO21" s="13"/>
      <c r="NP21" s="13"/>
      <c r="NQ21" s="13"/>
      <c r="NR21" s="13"/>
      <c r="NS21" s="13"/>
      <c r="NT21" s="13"/>
      <c r="NU21" s="13"/>
      <c r="NV21" s="13"/>
      <c r="NW21" s="13"/>
      <c r="NX21" s="13"/>
      <c r="NY21" s="13"/>
      <c r="NZ21" s="13"/>
      <c r="OA21" s="13"/>
      <c r="OB21" s="13"/>
      <c r="OC21" s="13"/>
      <c r="OD21" s="13"/>
      <c r="OE21" s="13"/>
      <c r="OF21" s="13"/>
      <c r="OG21" s="13"/>
      <c r="OH21" s="13"/>
      <c r="OI21" s="13"/>
      <c r="OJ21" s="13"/>
      <c r="OK21" s="13"/>
      <c r="OL21" s="13"/>
      <c r="OM21" s="13"/>
      <c r="ON21" s="13"/>
      <c r="OO21" s="13"/>
      <c r="OP21" s="13"/>
      <c r="OQ21" s="13"/>
      <c r="OR21" s="13"/>
      <c r="OS21" s="13"/>
      <c r="OT21" s="13"/>
      <c r="OU21" s="13"/>
      <c r="OV21" s="13"/>
      <c r="OW21" s="13"/>
      <c r="OX21" s="13"/>
      <c r="OY21" s="13"/>
      <c r="OZ21" s="13"/>
      <c r="PA21" s="13"/>
      <c r="PB21" s="13"/>
      <c r="PC21" s="13"/>
      <c r="PD21" s="13"/>
      <c r="PE21" s="13"/>
      <c r="PF21" s="13"/>
      <c r="PG21" s="13"/>
      <c r="PH21" s="13"/>
      <c r="PI21" s="13"/>
      <c r="PJ21" s="13"/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/>
      <c r="QI21" s="13"/>
      <c r="QJ21" s="13"/>
      <c r="QK21" s="13"/>
      <c r="QL21" s="13"/>
      <c r="QM21" s="13"/>
      <c r="QN21" s="13"/>
      <c r="QO21" s="13"/>
      <c r="QP21" s="13"/>
      <c r="QQ21" s="13"/>
      <c r="QR21" s="13"/>
      <c r="QS21" s="13"/>
      <c r="QT21" s="13"/>
      <c r="QU21" s="13"/>
      <c r="QV21" s="13"/>
      <c r="QW21" s="13"/>
      <c r="QX21" s="13"/>
      <c r="QY21" s="13"/>
      <c r="QZ21" s="13"/>
      <c r="RA21" s="13"/>
      <c r="RB21" s="13"/>
      <c r="RC21" s="13"/>
      <c r="RD21" s="13"/>
      <c r="RE21" s="13"/>
      <c r="RF21" s="13"/>
      <c r="RG21" s="13"/>
      <c r="RH21" s="13"/>
      <c r="RI21" s="13"/>
      <c r="RJ21" s="13"/>
      <c r="RK21" s="13"/>
      <c r="RL21" s="13"/>
      <c r="RM21" s="13"/>
      <c r="RN21" s="13"/>
      <c r="RO21" s="13"/>
      <c r="RP21" s="13"/>
      <c r="RQ21" s="13"/>
      <c r="RR21" s="13"/>
      <c r="RS21" s="13"/>
      <c r="RT21" s="13"/>
      <c r="RU21" s="13"/>
      <c r="RV21" s="13"/>
      <c r="RW21" s="13"/>
      <c r="RX21" s="13"/>
      <c r="RY21" s="13"/>
      <c r="RZ21" s="13"/>
      <c r="SA21" s="13"/>
      <c r="SB21" s="13"/>
      <c r="SC21" s="13"/>
      <c r="SD21" s="13"/>
      <c r="SE21" s="13"/>
      <c r="SF21" s="13"/>
      <c r="SG21" s="13"/>
      <c r="SH21" s="13"/>
      <c r="SI21" s="13"/>
      <c r="SJ21" s="13"/>
      <c r="SK21" s="13"/>
      <c r="SL21" s="13"/>
      <c r="SM21" s="13"/>
      <c r="SN21" s="13"/>
      <c r="SO21" s="13"/>
      <c r="SP21" s="13"/>
      <c r="SQ21" s="13"/>
      <c r="SR21" s="13"/>
      <c r="SS21" s="13"/>
      <c r="ST21" s="13"/>
      <c r="SU21" s="13"/>
      <c r="SV21" s="13"/>
      <c r="SW21" s="13"/>
      <c r="SX21" s="13"/>
      <c r="SY21" s="13"/>
      <c r="SZ21" s="13"/>
      <c r="TA21" s="13"/>
      <c r="TB21" s="13"/>
      <c r="TC21" s="13"/>
      <c r="TD21" s="13"/>
      <c r="TE21" s="13"/>
      <c r="TF21" s="13"/>
      <c r="TG21" s="13"/>
      <c r="TH21" s="13"/>
      <c r="TI21" s="13"/>
      <c r="TJ21" s="13"/>
      <c r="TK21" s="13"/>
      <c r="TL21" s="13"/>
      <c r="TM21" s="13"/>
      <c r="TN21" s="13"/>
      <c r="TO21" s="13"/>
      <c r="TP21" s="13"/>
      <c r="TQ21" s="13"/>
      <c r="TR21" s="13"/>
      <c r="TS21" s="13"/>
      <c r="TT21" s="13"/>
      <c r="TU21" s="13"/>
      <c r="TV21" s="13"/>
      <c r="TW21" s="13"/>
      <c r="TX21" s="13"/>
      <c r="TY21" s="13"/>
      <c r="TZ21" s="13"/>
      <c r="UA21" s="13"/>
      <c r="UB21" s="13"/>
      <c r="UC21" s="13"/>
      <c r="UD21" s="13"/>
      <c r="UE21" s="13"/>
      <c r="UF21" s="13"/>
      <c r="UG21" s="13"/>
      <c r="UH21" s="13"/>
      <c r="UI21" s="13"/>
      <c r="UJ21" s="13"/>
      <c r="UK21" s="13"/>
      <c r="UL21" s="13"/>
      <c r="UM21" s="13"/>
      <c r="UN21" s="13"/>
      <c r="UO21" s="13"/>
      <c r="UP21" s="13"/>
      <c r="UQ21" s="13"/>
      <c r="UR21" s="13"/>
      <c r="US21" s="13"/>
      <c r="UT21" s="13"/>
      <c r="UU21" s="13"/>
      <c r="UV21" s="13"/>
      <c r="UW21" s="13"/>
      <c r="UX21" s="13"/>
      <c r="UY21" s="13"/>
      <c r="UZ21" s="13"/>
      <c r="VA21" s="13"/>
      <c r="VB21" s="13"/>
      <c r="VC21" s="13"/>
      <c r="VD21" s="13"/>
      <c r="VE21" s="13"/>
      <c r="VF21" s="13"/>
      <c r="VG21" s="13"/>
      <c r="VH21" s="13"/>
      <c r="VI21" s="13"/>
      <c r="VJ21" s="13"/>
      <c r="VK21" s="13"/>
      <c r="VL21" s="13"/>
      <c r="VM21" s="13"/>
      <c r="VN21" s="13"/>
      <c r="VO21" s="13"/>
      <c r="VP21" s="13"/>
      <c r="VQ21" s="13"/>
      <c r="VR21" s="13"/>
      <c r="VS21" s="13"/>
      <c r="VT21" s="13"/>
      <c r="VU21" s="13"/>
      <c r="VV21" s="13"/>
      <c r="VW21" s="13"/>
      <c r="VX21" s="13"/>
      <c r="VY21" s="13"/>
      <c r="VZ21" s="13"/>
      <c r="WA21" s="13"/>
      <c r="WB21" s="13"/>
      <c r="WC21" s="13"/>
      <c r="WD21" s="13"/>
      <c r="WE21" s="13"/>
      <c r="WF21" s="13"/>
      <c r="WG21" s="13"/>
      <c r="WH21" s="13"/>
      <c r="WI21" s="13"/>
      <c r="WJ21" s="13"/>
      <c r="WK21" s="13"/>
      <c r="WL21" s="13"/>
      <c r="WM21" s="13"/>
      <c r="WN21" s="13"/>
      <c r="WO21" s="13"/>
      <c r="WP21" s="13"/>
      <c r="WQ21" s="13"/>
      <c r="WR21" s="13"/>
      <c r="WS21" s="13"/>
      <c r="WT21" s="13"/>
      <c r="WU21" s="13"/>
      <c r="WV21" s="13"/>
      <c r="WW21" s="13"/>
      <c r="WX21" s="13"/>
      <c r="WY21" s="13"/>
      <c r="WZ21" s="13"/>
      <c r="XA21" s="13"/>
      <c r="XB21" s="13"/>
      <c r="XC21" s="13"/>
      <c r="XD21" s="13"/>
      <c r="XE21" s="13"/>
      <c r="XF21" s="13"/>
      <c r="XG21" s="13"/>
      <c r="XH21" s="13"/>
      <c r="XI21" s="13"/>
      <c r="XJ21" s="13"/>
      <c r="XK21" s="13"/>
      <c r="XL21" s="13"/>
      <c r="XM21" s="13"/>
      <c r="XN21" s="13"/>
      <c r="XO21" s="13"/>
      <c r="XP21" s="13"/>
      <c r="XQ21" s="13"/>
      <c r="XR21" s="13"/>
      <c r="XS21" s="13"/>
      <c r="XT21" s="13"/>
      <c r="XU21" s="13"/>
      <c r="XV21" s="13"/>
      <c r="XW21" s="13"/>
      <c r="XX21" s="13"/>
      <c r="XY21" s="13"/>
      <c r="XZ21" s="13"/>
      <c r="YA21" s="13"/>
      <c r="YB21" s="13"/>
      <c r="YC21" s="13"/>
      <c r="YD21" s="13"/>
      <c r="YE21" s="13"/>
      <c r="YF21" s="13"/>
      <c r="YG21" s="13"/>
      <c r="YH21" s="13"/>
      <c r="YI21" s="13"/>
      <c r="YJ21" s="13"/>
      <c r="YK21" s="13"/>
      <c r="YL21" s="13"/>
      <c r="YM21" s="13"/>
      <c r="YN21" s="13"/>
      <c r="YO21" s="13"/>
      <c r="YP21" s="13"/>
      <c r="YQ21" s="13"/>
      <c r="YR21" s="13"/>
      <c r="YS21" s="13"/>
      <c r="YT21" s="13"/>
      <c r="YU21" s="13"/>
      <c r="YV21" s="13"/>
      <c r="YW21" s="13"/>
      <c r="YX21" s="13"/>
      <c r="YY21" s="13"/>
      <c r="YZ21" s="13"/>
      <c r="ZA21" s="13"/>
      <c r="ZB21" s="13"/>
      <c r="ZC21" s="13"/>
      <c r="ZD21" s="13"/>
      <c r="ZE21" s="13"/>
      <c r="ZF21" s="13"/>
      <c r="ZG21" s="13"/>
      <c r="ZH21" s="13"/>
      <c r="ZI21" s="13"/>
      <c r="ZJ21" s="13"/>
      <c r="ZK21" s="13"/>
      <c r="ZL21" s="13"/>
      <c r="ZM21" s="13"/>
      <c r="ZN21" s="13"/>
      <c r="ZO21" s="13"/>
      <c r="ZP21" s="13"/>
      <c r="ZQ21" s="13"/>
      <c r="ZR21" s="13"/>
      <c r="ZS21" s="13"/>
      <c r="ZT21" s="13"/>
      <c r="ZU21" s="13"/>
      <c r="ZV21" s="13"/>
      <c r="ZW21" s="13"/>
      <c r="ZX21" s="13"/>
      <c r="ZY21" s="13"/>
      <c r="ZZ21" s="13"/>
      <c r="AAA21" s="13"/>
      <c r="AAB21" s="13"/>
      <c r="AAC21" s="13"/>
      <c r="AAD21" s="13"/>
      <c r="AAE21" s="13"/>
      <c r="AAF21" s="13"/>
      <c r="AAG21" s="13"/>
      <c r="AAH21" s="13"/>
      <c r="AAI21" s="13"/>
      <c r="AAJ21" s="13"/>
      <c r="AAK21" s="13"/>
      <c r="AAL21" s="13"/>
      <c r="AAM21" s="13"/>
      <c r="AAN21" s="13"/>
      <c r="AAO21" s="13"/>
      <c r="AAP21" s="13"/>
      <c r="AAQ21" s="13"/>
      <c r="AAR21" s="13"/>
      <c r="AAS21" s="13"/>
      <c r="AAT21" s="13"/>
      <c r="AAU21" s="13"/>
      <c r="AAV21" s="13"/>
      <c r="AAW21" s="13"/>
      <c r="AAX21" s="13"/>
      <c r="AAY21" s="13"/>
      <c r="AAZ21" s="13"/>
      <c r="ABA21" s="13"/>
      <c r="ABB21" s="13"/>
      <c r="ABC21" s="13"/>
      <c r="ABD21" s="13"/>
      <c r="ABE21" s="13"/>
      <c r="ABF21" s="13"/>
      <c r="ABG21" s="13"/>
      <c r="ABH21" s="13"/>
      <c r="ABI21" s="13"/>
      <c r="ABJ21" s="13"/>
      <c r="ABK21" s="13"/>
      <c r="ABL21" s="13"/>
      <c r="ABM21" s="13"/>
      <c r="ABN21" s="13"/>
      <c r="ABO21" s="13"/>
      <c r="ABP21" s="13"/>
      <c r="ABQ21" s="13"/>
      <c r="ABR21" s="13"/>
      <c r="ABS21" s="13"/>
      <c r="ABT21" s="13"/>
      <c r="ABU21" s="13"/>
      <c r="ABV21" s="13"/>
      <c r="ABW21" s="13"/>
      <c r="ABX21" s="13"/>
      <c r="ABY21" s="13"/>
      <c r="ABZ21" s="13"/>
      <c r="ACA21" s="13"/>
      <c r="ACB21" s="13"/>
      <c r="ACC21" s="13"/>
      <c r="ACD21" s="13"/>
      <c r="ACE21" s="13"/>
      <c r="ACF21" s="13"/>
      <c r="ACG21" s="13"/>
      <c r="ACH21" s="13"/>
      <c r="ACI21" s="13"/>
      <c r="ACJ21" s="13"/>
      <c r="ACK21" s="13"/>
      <c r="ACL21" s="13"/>
      <c r="ACM21" s="13"/>
      <c r="ACN21" s="13"/>
      <c r="ACO21" s="13"/>
      <c r="ACP21" s="13"/>
      <c r="ACQ21" s="13"/>
      <c r="ACR21" s="13"/>
      <c r="ACS21" s="13"/>
      <c r="ACT21" s="13"/>
      <c r="ACU21" s="13"/>
      <c r="ACV21" s="13"/>
      <c r="ACW21" s="13"/>
      <c r="ACX21" s="13"/>
      <c r="ACY21" s="13"/>
      <c r="ACZ21" s="13"/>
      <c r="ADA21" s="13"/>
      <c r="ADB21" s="13"/>
      <c r="ADC21" s="13"/>
      <c r="ADD21" s="13"/>
      <c r="ADE21" s="13"/>
      <c r="ADF21" s="13"/>
      <c r="ADG21" s="13"/>
      <c r="ADH21" s="13"/>
      <c r="ADI21" s="13"/>
      <c r="ADJ21" s="13"/>
      <c r="ADK21" s="13"/>
      <c r="ADL21" s="13"/>
      <c r="ADM21" s="13"/>
      <c r="ADN21" s="13"/>
      <c r="ADO21" s="13"/>
      <c r="ADP21" s="13"/>
      <c r="ADQ21" s="13"/>
      <c r="ADR21" s="13"/>
      <c r="ADS21" s="13"/>
      <c r="ADT21" s="13"/>
      <c r="ADU21" s="13"/>
      <c r="ADV21" s="13"/>
      <c r="ADW21" s="13"/>
      <c r="ADX21" s="13"/>
      <c r="ADY21" s="13"/>
      <c r="ADZ21" s="13"/>
      <c r="AEA21" s="13"/>
      <c r="AEB21" s="13"/>
      <c r="AEC21" s="13"/>
      <c r="AED21" s="13"/>
      <c r="AEE21" s="13"/>
      <c r="AEF21" s="13"/>
      <c r="AEG21" s="13"/>
      <c r="AEH21" s="13"/>
      <c r="AEI21" s="13"/>
      <c r="AEJ21" s="13"/>
      <c r="AEK21" s="13"/>
      <c r="AEL21" s="13"/>
      <c r="AEM21" s="13"/>
      <c r="AEN21" s="13"/>
      <c r="AEO21" s="13"/>
      <c r="AEP21" s="13"/>
      <c r="AEQ21" s="13"/>
      <c r="AER21" s="13"/>
      <c r="AES21" s="13"/>
      <c r="AET21" s="13"/>
      <c r="AEU21" s="13"/>
      <c r="AEV21" s="13"/>
      <c r="AEW21" s="13"/>
      <c r="AEX21" s="13"/>
      <c r="AEY21" s="13"/>
      <c r="AEZ21" s="13"/>
      <c r="AFA21" s="13"/>
      <c r="AFB21" s="13"/>
      <c r="AFC21" s="13"/>
      <c r="AFD21" s="13"/>
      <c r="AFE21" s="13"/>
      <c r="AFF21" s="13"/>
      <c r="AFG21" s="13"/>
      <c r="AFH21" s="13"/>
      <c r="AFI21" s="13"/>
      <c r="AFJ21" s="13"/>
      <c r="AFK21" s="13"/>
      <c r="AFL21" s="13"/>
      <c r="AFM21" s="13"/>
      <c r="AFN21" s="13"/>
      <c r="AFO21" s="13"/>
      <c r="AFP21" s="13"/>
      <c r="AFQ21" s="13"/>
      <c r="AFR21" s="13"/>
      <c r="AFS21" s="13"/>
      <c r="AFT21" s="13"/>
      <c r="AFU21" s="13"/>
      <c r="AFV21" s="13"/>
      <c r="AFW21" s="13"/>
      <c r="AFX21" s="13"/>
      <c r="AFY21" s="13"/>
      <c r="AFZ21" s="13"/>
      <c r="AGA21" s="13"/>
      <c r="AGB21" s="13"/>
      <c r="AGC21" s="13"/>
      <c r="AGD21" s="13"/>
      <c r="AGE21" s="13"/>
      <c r="AGF21" s="13"/>
      <c r="AGG21" s="13"/>
      <c r="AGH21" s="13"/>
      <c r="AGI21" s="13"/>
      <c r="AGJ21" s="13"/>
      <c r="AGK21" s="13"/>
      <c r="AGL21" s="13"/>
      <c r="AGM21" s="13"/>
      <c r="AGN21" s="13"/>
      <c r="AGO21" s="13"/>
      <c r="AGP21" s="13"/>
      <c r="AGQ21" s="13"/>
      <c r="AGR21" s="13"/>
      <c r="AGS21" s="13"/>
      <c r="AGT21" s="13"/>
      <c r="AGU21" s="13"/>
      <c r="AGV21" s="13"/>
      <c r="AGW21" s="13"/>
      <c r="AGX21" s="13"/>
      <c r="AGY21" s="13"/>
      <c r="AGZ21" s="13"/>
      <c r="AHA21" s="13"/>
      <c r="AHB21" s="13"/>
      <c r="AHC21" s="13"/>
      <c r="AHD21" s="13"/>
      <c r="AHE21" s="13"/>
      <c r="AHF21" s="13"/>
      <c r="AHG21" s="13"/>
      <c r="AHH21" s="13"/>
      <c r="AHI21" s="13"/>
      <c r="AHJ21" s="13"/>
      <c r="AHK21" s="13"/>
      <c r="AHL21" s="13"/>
      <c r="AHM21" s="13"/>
      <c r="AHN21" s="13"/>
      <c r="AHO21" s="13"/>
      <c r="AHP21" s="13"/>
      <c r="AHQ21" s="13"/>
      <c r="AHR21" s="13"/>
      <c r="AHS21" s="13"/>
      <c r="AHT21" s="13"/>
      <c r="AHU21" s="13"/>
      <c r="AHV21" s="13"/>
      <c r="AHW21" s="13"/>
      <c r="AHX21" s="13"/>
      <c r="AHY21" s="13"/>
      <c r="AHZ21" s="13"/>
      <c r="AIA21" s="13"/>
      <c r="AIB21" s="13"/>
      <c r="AIC21" s="13"/>
      <c r="AID21" s="13"/>
      <c r="AIE21" s="13"/>
      <c r="AIF21" s="13"/>
      <c r="AIG21" s="13"/>
      <c r="AIH21" s="13"/>
      <c r="AII21" s="13"/>
      <c r="AIJ21" s="13"/>
      <c r="AIK21" s="13"/>
      <c r="AIL21" s="13"/>
      <c r="AIM21" s="13"/>
      <c r="AIN21" s="13"/>
      <c r="AIO21" s="13"/>
      <c r="AIP21" s="13"/>
      <c r="AIQ21" s="13"/>
      <c r="AIR21" s="13"/>
      <c r="AIS21" s="13"/>
      <c r="AIT21" s="13"/>
      <c r="AIU21" s="13"/>
      <c r="AIV21" s="13"/>
      <c r="AIW21" s="13"/>
      <c r="AIX21" s="13"/>
      <c r="AIY21" s="13"/>
      <c r="AIZ21" s="13"/>
      <c r="AJA21" s="13"/>
      <c r="AJB21" s="13"/>
      <c r="AJC21" s="13"/>
      <c r="AJD21" s="13"/>
      <c r="AJE21" s="13"/>
      <c r="AJF21" s="13"/>
      <c r="AJG21" s="13"/>
      <c r="AJH21" s="13"/>
      <c r="AJI21" s="13"/>
      <c r="AJJ21" s="13"/>
      <c r="AJK21" s="13"/>
      <c r="AJL21" s="13"/>
      <c r="AJM21" s="13"/>
      <c r="AJN21" s="13"/>
      <c r="AJO21" s="13"/>
      <c r="AJP21" s="13"/>
      <c r="AJQ21" s="13"/>
      <c r="AJR21" s="13"/>
      <c r="AJS21" s="13"/>
      <c r="AJT21" s="13"/>
      <c r="AJU21" s="13"/>
      <c r="AJV21" s="13"/>
      <c r="AJW21" s="13"/>
      <c r="AJX21" s="13"/>
      <c r="AJY21" s="13"/>
      <c r="AJZ21" s="13"/>
      <c r="AKA21" s="13"/>
      <c r="AKB21" s="13"/>
      <c r="AKC21" s="13"/>
      <c r="AKD21" s="13"/>
      <c r="AKE21" s="13"/>
      <c r="AKF21" s="13"/>
      <c r="AKG21" s="13"/>
      <c r="AKH21" s="13"/>
      <c r="AKI21" s="13"/>
      <c r="AKJ21" s="13"/>
      <c r="AKK21" s="13"/>
      <c r="AKL21" s="13"/>
      <c r="AKM21" s="13"/>
      <c r="AKN21" s="13"/>
      <c r="AKO21" s="13"/>
      <c r="AKP21" s="13"/>
      <c r="AKQ21" s="13"/>
      <c r="AKR21" s="13"/>
      <c r="AKS21" s="13"/>
      <c r="AKT21" s="13"/>
      <c r="AKU21" s="13"/>
      <c r="AKV21" s="13"/>
      <c r="AKW21" s="13"/>
      <c r="AKX21" s="13"/>
      <c r="AKY21" s="13"/>
      <c r="AKZ21" s="13"/>
      <c r="ALA21" s="13"/>
      <c r="ALB21" s="13"/>
      <c r="ALC21" s="13"/>
      <c r="ALD21" s="13"/>
      <c r="ALE21" s="13"/>
      <c r="ALF21" s="13"/>
      <c r="ALG21" s="13"/>
      <c r="ALH21" s="13"/>
      <c r="ALI21" s="13"/>
      <c r="ALJ21" s="13"/>
      <c r="ALK21" s="13"/>
      <c r="ALL21" s="13"/>
      <c r="ALM21" s="13"/>
      <c r="ALN21" s="13"/>
      <c r="ALO21" s="13"/>
    </row>
    <row r="22" spans="1:1012" x14ac:dyDescent="0.35">
      <c r="E22" s="121"/>
      <c r="F22" s="144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/>
      <c r="HY22" s="13"/>
      <c r="HZ22" s="13"/>
      <c r="IA22" s="13"/>
      <c r="IB22" s="13"/>
      <c r="IC22" s="13"/>
      <c r="ID22" s="13"/>
      <c r="IE22" s="13"/>
      <c r="IF22" s="13"/>
      <c r="IG22" s="13"/>
      <c r="IH22" s="13"/>
      <c r="II22" s="13"/>
      <c r="IJ22" s="13"/>
      <c r="IK22" s="13"/>
      <c r="IL22" s="13"/>
      <c r="IM22" s="13"/>
      <c r="IN22" s="13"/>
      <c r="IO22" s="13"/>
      <c r="IP22" s="13"/>
      <c r="IQ22" s="13"/>
      <c r="IR22" s="13"/>
      <c r="IS22" s="13"/>
      <c r="IT22" s="13"/>
      <c r="IU22" s="13"/>
      <c r="IV22" s="13"/>
      <c r="IW22" s="13"/>
      <c r="IX22" s="13"/>
      <c r="IY22" s="13"/>
      <c r="IZ22" s="13"/>
      <c r="JA22" s="13"/>
      <c r="JB22" s="13"/>
      <c r="JC22" s="13"/>
      <c r="JD22" s="13"/>
      <c r="JE22" s="13"/>
      <c r="JF22" s="13"/>
      <c r="JG22" s="13"/>
      <c r="JH22" s="13"/>
      <c r="JI22" s="13"/>
      <c r="JJ22" s="13"/>
      <c r="JK22" s="13"/>
      <c r="JL22" s="13"/>
      <c r="JM22" s="13"/>
      <c r="JN22" s="13"/>
      <c r="JO22" s="13"/>
      <c r="JP22" s="13"/>
      <c r="JQ22" s="13"/>
      <c r="JR22" s="13"/>
      <c r="JS22" s="13"/>
      <c r="JT22" s="13"/>
      <c r="JU22" s="13"/>
      <c r="JV22" s="13"/>
      <c r="JW22" s="13"/>
      <c r="JX22" s="13"/>
      <c r="JY22" s="13"/>
      <c r="JZ22" s="13"/>
      <c r="KA22" s="13"/>
      <c r="KB22" s="13"/>
      <c r="KC22" s="13"/>
      <c r="KD22" s="13"/>
      <c r="KE22" s="13"/>
      <c r="KF22" s="13"/>
      <c r="KG22" s="13"/>
      <c r="KH22" s="13"/>
      <c r="KI22" s="13"/>
      <c r="KJ22" s="13"/>
      <c r="KK22" s="13"/>
      <c r="KL22" s="13"/>
      <c r="KM22" s="13"/>
      <c r="KN22" s="13"/>
      <c r="KO22" s="13"/>
      <c r="KP22" s="13"/>
      <c r="KQ22" s="13"/>
      <c r="KR22" s="13"/>
      <c r="KS22" s="13"/>
      <c r="KT22" s="13"/>
      <c r="KU22" s="13"/>
      <c r="KV22" s="13"/>
      <c r="KW22" s="13"/>
      <c r="KX22" s="13"/>
      <c r="KY22" s="13"/>
      <c r="KZ22" s="13"/>
      <c r="LA22" s="13"/>
      <c r="LB22" s="13"/>
      <c r="LC22" s="13"/>
      <c r="LD22" s="13"/>
      <c r="LE22" s="13"/>
      <c r="LF22" s="13"/>
      <c r="LG22" s="13"/>
      <c r="LH22" s="13"/>
      <c r="LI22" s="13"/>
      <c r="LJ22" s="13"/>
      <c r="LK22" s="13"/>
      <c r="LL22" s="13"/>
      <c r="LM22" s="13"/>
      <c r="LN22" s="13"/>
      <c r="LO22" s="13"/>
      <c r="LP22" s="13"/>
      <c r="LQ22" s="13"/>
      <c r="LR22" s="13"/>
      <c r="LS22" s="13"/>
      <c r="LT22" s="13"/>
      <c r="LU22" s="13"/>
      <c r="LV22" s="13"/>
      <c r="LW22" s="13"/>
      <c r="LX22" s="13"/>
      <c r="LY22" s="13"/>
      <c r="LZ22" s="13"/>
      <c r="MA22" s="13"/>
      <c r="MB22" s="13"/>
      <c r="MC22" s="13"/>
      <c r="MD22" s="13"/>
      <c r="ME22" s="13"/>
      <c r="MF22" s="13"/>
      <c r="MG22" s="13"/>
      <c r="MH22" s="13"/>
      <c r="MI22" s="13"/>
      <c r="MJ22" s="13"/>
      <c r="MK22" s="13"/>
      <c r="ML22" s="13"/>
      <c r="MM22" s="13"/>
      <c r="MN22" s="13"/>
      <c r="MO22" s="13"/>
      <c r="MP22" s="13"/>
      <c r="MQ22" s="13"/>
      <c r="MR22" s="13"/>
      <c r="MS22" s="13"/>
      <c r="MT22" s="13"/>
      <c r="MU22" s="13"/>
      <c r="MV22" s="13"/>
      <c r="MW22" s="13"/>
      <c r="MX22" s="13"/>
      <c r="MY22" s="13"/>
      <c r="MZ22" s="13"/>
      <c r="NA22" s="13"/>
      <c r="NB22" s="13"/>
      <c r="NC22" s="13"/>
      <c r="ND22" s="13"/>
      <c r="NE22" s="13"/>
      <c r="NF22" s="13"/>
      <c r="NG22" s="13"/>
      <c r="NH22" s="13"/>
      <c r="NI22" s="13"/>
      <c r="NJ22" s="13"/>
      <c r="NK22" s="13"/>
      <c r="NL22" s="13"/>
      <c r="NM22" s="13"/>
      <c r="NN22" s="13"/>
      <c r="NO22" s="13"/>
      <c r="NP22" s="13"/>
      <c r="NQ22" s="13"/>
      <c r="NR22" s="13"/>
      <c r="NS22" s="13"/>
      <c r="NT22" s="13"/>
      <c r="NU22" s="13"/>
      <c r="NV22" s="13"/>
      <c r="NW22" s="13"/>
      <c r="NX22" s="13"/>
      <c r="NY22" s="13"/>
      <c r="NZ22" s="13"/>
      <c r="OA22" s="13"/>
      <c r="OB22" s="13"/>
      <c r="OC22" s="13"/>
      <c r="OD22" s="13"/>
      <c r="OE22" s="13"/>
      <c r="OF22" s="13"/>
      <c r="OG22" s="13"/>
      <c r="OH22" s="13"/>
      <c r="OI22" s="13"/>
      <c r="OJ22" s="13"/>
      <c r="OK22" s="13"/>
      <c r="OL22" s="13"/>
      <c r="OM22" s="13"/>
      <c r="ON22" s="13"/>
      <c r="OO22" s="13"/>
      <c r="OP22" s="13"/>
      <c r="OQ22" s="13"/>
      <c r="OR22" s="13"/>
      <c r="OS22" s="13"/>
      <c r="OT22" s="13"/>
      <c r="OU22" s="13"/>
      <c r="OV22" s="13"/>
      <c r="OW22" s="13"/>
      <c r="OX22" s="13"/>
      <c r="OY22" s="13"/>
      <c r="OZ22" s="13"/>
      <c r="PA22" s="13"/>
      <c r="PB22" s="13"/>
      <c r="PC22" s="13"/>
      <c r="PD22" s="13"/>
      <c r="PE22" s="13"/>
      <c r="PF22" s="13"/>
      <c r="PG22" s="13"/>
      <c r="PH22" s="13"/>
      <c r="PI22" s="13"/>
      <c r="PJ22" s="13"/>
      <c r="PK22" s="13"/>
      <c r="PL22" s="13"/>
      <c r="PM22" s="13"/>
      <c r="PN22" s="13"/>
      <c r="PO22" s="13"/>
      <c r="PP22" s="13"/>
      <c r="PQ22" s="13"/>
      <c r="PR22" s="13"/>
      <c r="PS22" s="13"/>
      <c r="PT22" s="13"/>
      <c r="PU22" s="13"/>
      <c r="PV22" s="13"/>
      <c r="PW22" s="13"/>
      <c r="PX22" s="13"/>
      <c r="PY22" s="13"/>
      <c r="PZ22" s="13"/>
      <c r="QA22" s="13"/>
      <c r="QB22" s="13"/>
      <c r="QC22" s="13"/>
      <c r="QD22" s="13"/>
      <c r="QE22" s="13"/>
      <c r="QF22" s="13"/>
      <c r="QG22" s="13"/>
      <c r="QH22" s="13"/>
      <c r="QI22" s="13"/>
      <c r="QJ22" s="13"/>
      <c r="QK22" s="13"/>
      <c r="QL22" s="13"/>
      <c r="QM22" s="13"/>
      <c r="QN22" s="13"/>
      <c r="QO22" s="13"/>
      <c r="QP22" s="13"/>
      <c r="QQ22" s="13"/>
      <c r="QR22" s="13"/>
      <c r="QS22" s="13"/>
      <c r="QT22" s="13"/>
      <c r="QU22" s="13"/>
      <c r="QV22" s="13"/>
      <c r="QW22" s="13"/>
      <c r="QX22" s="13"/>
      <c r="QY22" s="13"/>
      <c r="QZ22" s="13"/>
      <c r="RA22" s="13"/>
      <c r="RB22" s="13"/>
      <c r="RC22" s="13"/>
      <c r="RD22" s="13"/>
      <c r="RE22" s="13"/>
      <c r="RF22" s="13"/>
      <c r="RG22" s="13"/>
      <c r="RH22" s="13"/>
      <c r="RI22" s="13"/>
      <c r="RJ22" s="13"/>
      <c r="RK22" s="13"/>
      <c r="RL22" s="13"/>
      <c r="RM22" s="13"/>
      <c r="RN22" s="13"/>
      <c r="RO22" s="13"/>
      <c r="RP22" s="13"/>
      <c r="RQ22" s="13"/>
      <c r="RR22" s="13"/>
      <c r="RS22" s="13"/>
      <c r="RT22" s="13"/>
      <c r="RU22" s="13"/>
      <c r="RV22" s="13"/>
      <c r="RW22" s="13"/>
      <c r="RX22" s="13"/>
      <c r="RY22" s="13"/>
      <c r="RZ22" s="13"/>
      <c r="SA22" s="13"/>
      <c r="SB22" s="13"/>
      <c r="SC22" s="13"/>
      <c r="SD22" s="13"/>
      <c r="SE22" s="13"/>
      <c r="SF22" s="13"/>
      <c r="SG22" s="13"/>
      <c r="SH22" s="13"/>
      <c r="SI22" s="13"/>
      <c r="SJ22" s="13"/>
      <c r="SK22" s="13"/>
      <c r="SL22" s="13"/>
      <c r="SM22" s="13"/>
      <c r="SN22" s="13"/>
      <c r="SO22" s="13"/>
      <c r="SP22" s="13"/>
      <c r="SQ22" s="13"/>
      <c r="SR22" s="13"/>
      <c r="SS22" s="13"/>
      <c r="ST22" s="13"/>
      <c r="SU22" s="13"/>
      <c r="SV22" s="13"/>
      <c r="SW22" s="13"/>
      <c r="SX22" s="13"/>
      <c r="SY22" s="13"/>
      <c r="SZ22" s="13"/>
      <c r="TA22" s="13"/>
      <c r="TB22" s="13"/>
      <c r="TC22" s="13"/>
      <c r="TD22" s="13"/>
      <c r="TE22" s="13"/>
      <c r="TF22" s="13"/>
      <c r="TG22" s="13"/>
      <c r="TH22" s="13"/>
      <c r="TI22" s="13"/>
      <c r="TJ22" s="13"/>
      <c r="TK22" s="13"/>
      <c r="TL22" s="13"/>
      <c r="TM22" s="13"/>
      <c r="TN22" s="13"/>
      <c r="TO22" s="13"/>
      <c r="TP22" s="13"/>
      <c r="TQ22" s="13"/>
      <c r="TR22" s="13"/>
      <c r="TS22" s="13"/>
      <c r="TT22" s="13"/>
      <c r="TU22" s="13"/>
      <c r="TV22" s="13"/>
      <c r="TW22" s="13"/>
      <c r="TX22" s="13"/>
      <c r="TY22" s="13"/>
      <c r="TZ22" s="13"/>
      <c r="UA22" s="13"/>
      <c r="UB22" s="13"/>
      <c r="UC22" s="13"/>
      <c r="UD22" s="13"/>
      <c r="UE22" s="13"/>
      <c r="UF22" s="13"/>
      <c r="UG22" s="13"/>
      <c r="UH22" s="13"/>
      <c r="UI22" s="13"/>
      <c r="UJ22" s="13"/>
      <c r="UK22" s="13"/>
      <c r="UL22" s="13"/>
      <c r="UM22" s="13"/>
      <c r="UN22" s="13"/>
      <c r="UO22" s="13"/>
      <c r="UP22" s="13"/>
      <c r="UQ22" s="13"/>
      <c r="UR22" s="13"/>
      <c r="US22" s="13"/>
      <c r="UT22" s="13"/>
      <c r="UU22" s="13"/>
      <c r="UV22" s="13"/>
      <c r="UW22" s="13"/>
      <c r="UX22" s="13"/>
      <c r="UY22" s="13"/>
      <c r="UZ22" s="13"/>
      <c r="VA22" s="13"/>
      <c r="VB22" s="13"/>
      <c r="VC22" s="13"/>
      <c r="VD22" s="13"/>
      <c r="VE22" s="13"/>
      <c r="VF22" s="13"/>
      <c r="VG22" s="13"/>
      <c r="VH22" s="13"/>
      <c r="VI22" s="13"/>
      <c r="VJ22" s="13"/>
      <c r="VK22" s="13"/>
      <c r="VL22" s="13"/>
      <c r="VM22" s="13"/>
      <c r="VN22" s="13"/>
      <c r="VO22" s="13"/>
      <c r="VP22" s="13"/>
      <c r="VQ22" s="13"/>
      <c r="VR22" s="13"/>
      <c r="VS22" s="13"/>
      <c r="VT22" s="13"/>
      <c r="VU22" s="13"/>
      <c r="VV22" s="13"/>
      <c r="VW22" s="13"/>
      <c r="VX22" s="13"/>
      <c r="VY22" s="13"/>
      <c r="VZ22" s="13"/>
      <c r="WA22" s="13"/>
      <c r="WB22" s="13"/>
      <c r="WC22" s="13"/>
      <c r="WD22" s="13"/>
      <c r="WE22" s="13"/>
      <c r="WF22" s="13"/>
      <c r="WG22" s="13"/>
      <c r="WH22" s="13"/>
      <c r="WI22" s="13"/>
      <c r="WJ22" s="13"/>
      <c r="WK22" s="13"/>
      <c r="WL22" s="13"/>
      <c r="WM22" s="13"/>
      <c r="WN22" s="13"/>
      <c r="WO22" s="13"/>
      <c r="WP22" s="13"/>
      <c r="WQ22" s="13"/>
      <c r="WR22" s="13"/>
      <c r="WS22" s="13"/>
      <c r="WT22" s="13"/>
      <c r="WU22" s="13"/>
      <c r="WV22" s="13"/>
      <c r="WW22" s="13"/>
      <c r="WX22" s="13"/>
      <c r="WY22" s="13"/>
      <c r="WZ22" s="13"/>
      <c r="XA22" s="13"/>
      <c r="XB22" s="13"/>
      <c r="XC22" s="13"/>
      <c r="XD22" s="13"/>
      <c r="XE22" s="13"/>
      <c r="XF22" s="13"/>
      <c r="XG22" s="13"/>
      <c r="XH22" s="13"/>
      <c r="XI22" s="13"/>
      <c r="XJ22" s="13"/>
      <c r="XK22" s="13"/>
      <c r="XL22" s="13"/>
      <c r="XM22" s="13"/>
      <c r="XN22" s="13"/>
      <c r="XO22" s="13"/>
      <c r="XP22" s="13"/>
      <c r="XQ22" s="13"/>
      <c r="XR22" s="13"/>
      <c r="XS22" s="13"/>
      <c r="XT22" s="13"/>
      <c r="XU22" s="13"/>
      <c r="XV22" s="13"/>
      <c r="XW22" s="13"/>
      <c r="XX22" s="13"/>
      <c r="XY22" s="13"/>
      <c r="XZ22" s="13"/>
      <c r="YA22" s="13"/>
      <c r="YB22" s="13"/>
      <c r="YC22" s="13"/>
      <c r="YD22" s="13"/>
      <c r="YE22" s="13"/>
      <c r="YF22" s="13"/>
      <c r="YG22" s="13"/>
      <c r="YH22" s="13"/>
      <c r="YI22" s="13"/>
      <c r="YJ22" s="13"/>
      <c r="YK22" s="13"/>
      <c r="YL22" s="13"/>
      <c r="YM22" s="13"/>
      <c r="YN22" s="13"/>
      <c r="YO22" s="13"/>
      <c r="YP22" s="13"/>
      <c r="YQ22" s="13"/>
      <c r="YR22" s="13"/>
      <c r="YS22" s="13"/>
      <c r="YT22" s="13"/>
      <c r="YU22" s="13"/>
      <c r="YV22" s="13"/>
      <c r="YW22" s="13"/>
      <c r="YX22" s="13"/>
      <c r="YY22" s="13"/>
      <c r="YZ22" s="13"/>
      <c r="ZA22" s="13"/>
      <c r="ZB22" s="13"/>
      <c r="ZC22" s="13"/>
      <c r="ZD22" s="13"/>
      <c r="ZE22" s="13"/>
      <c r="ZF22" s="13"/>
      <c r="ZG22" s="13"/>
      <c r="ZH22" s="13"/>
      <c r="ZI22" s="13"/>
      <c r="ZJ22" s="13"/>
      <c r="ZK22" s="13"/>
      <c r="ZL22" s="13"/>
      <c r="ZM22" s="13"/>
      <c r="ZN22" s="13"/>
      <c r="ZO22" s="13"/>
      <c r="ZP22" s="13"/>
      <c r="ZQ22" s="13"/>
      <c r="ZR22" s="13"/>
      <c r="ZS22" s="13"/>
      <c r="ZT22" s="13"/>
      <c r="ZU22" s="13"/>
      <c r="ZV22" s="13"/>
      <c r="ZW22" s="13"/>
      <c r="ZX22" s="13"/>
      <c r="ZY22" s="13"/>
      <c r="ZZ22" s="13"/>
      <c r="AAA22" s="13"/>
      <c r="AAB22" s="13"/>
      <c r="AAC22" s="13"/>
      <c r="AAD22" s="13"/>
      <c r="AAE22" s="13"/>
      <c r="AAF22" s="13"/>
      <c r="AAG22" s="13"/>
      <c r="AAH22" s="13"/>
      <c r="AAI22" s="13"/>
      <c r="AAJ22" s="13"/>
      <c r="AAK22" s="13"/>
      <c r="AAL22" s="13"/>
      <c r="AAM22" s="13"/>
      <c r="AAN22" s="13"/>
      <c r="AAO22" s="13"/>
      <c r="AAP22" s="13"/>
      <c r="AAQ22" s="13"/>
      <c r="AAR22" s="13"/>
      <c r="AAS22" s="13"/>
      <c r="AAT22" s="13"/>
      <c r="AAU22" s="13"/>
      <c r="AAV22" s="13"/>
      <c r="AAW22" s="13"/>
      <c r="AAX22" s="13"/>
      <c r="AAY22" s="13"/>
      <c r="AAZ22" s="13"/>
      <c r="ABA22" s="13"/>
      <c r="ABB22" s="13"/>
      <c r="ABC22" s="13"/>
      <c r="ABD22" s="13"/>
      <c r="ABE22" s="13"/>
      <c r="ABF22" s="13"/>
      <c r="ABG22" s="13"/>
      <c r="ABH22" s="13"/>
      <c r="ABI22" s="13"/>
      <c r="ABJ22" s="13"/>
      <c r="ABK22" s="13"/>
      <c r="ABL22" s="13"/>
      <c r="ABM22" s="13"/>
      <c r="ABN22" s="13"/>
      <c r="ABO22" s="13"/>
      <c r="ABP22" s="13"/>
      <c r="ABQ22" s="13"/>
      <c r="ABR22" s="13"/>
      <c r="ABS22" s="13"/>
      <c r="ABT22" s="13"/>
      <c r="ABU22" s="13"/>
      <c r="ABV22" s="13"/>
      <c r="ABW22" s="13"/>
      <c r="ABX22" s="13"/>
      <c r="ABY22" s="13"/>
      <c r="ABZ22" s="13"/>
      <c r="ACA22" s="13"/>
      <c r="ACB22" s="13"/>
      <c r="ACC22" s="13"/>
      <c r="ACD22" s="13"/>
      <c r="ACE22" s="13"/>
      <c r="ACF22" s="13"/>
      <c r="ACG22" s="13"/>
      <c r="ACH22" s="13"/>
      <c r="ACI22" s="13"/>
      <c r="ACJ22" s="13"/>
      <c r="ACK22" s="13"/>
      <c r="ACL22" s="13"/>
      <c r="ACM22" s="13"/>
      <c r="ACN22" s="13"/>
      <c r="ACO22" s="13"/>
      <c r="ACP22" s="13"/>
      <c r="ACQ22" s="13"/>
      <c r="ACR22" s="13"/>
      <c r="ACS22" s="13"/>
      <c r="ACT22" s="13"/>
      <c r="ACU22" s="13"/>
      <c r="ACV22" s="13"/>
      <c r="ACW22" s="13"/>
      <c r="ACX22" s="13"/>
      <c r="ACY22" s="13"/>
      <c r="ACZ22" s="13"/>
      <c r="ADA22" s="13"/>
      <c r="ADB22" s="13"/>
      <c r="ADC22" s="13"/>
      <c r="ADD22" s="13"/>
      <c r="ADE22" s="13"/>
      <c r="ADF22" s="13"/>
      <c r="ADG22" s="13"/>
      <c r="ADH22" s="13"/>
      <c r="ADI22" s="13"/>
      <c r="ADJ22" s="13"/>
      <c r="ADK22" s="13"/>
      <c r="ADL22" s="13"/>
      <c r="ADM22" s="13"/>
      <c r="ADN22" s="13"/>
      <c r="ADO22" s="13"/>
      <c r="ADP22" s="13"/>
      <c r="ADQ22" s="13"/>
      <c r="ADR22" s="13"/>
      <c r="ADS22" s="13"/>
      <c r="ADT22" s="13"/>
      <c r="ADU22" s="13"/>
      <c r="ADV22" s="13"/>
      <c r="ADW22" s="13"/>
      <c r="ADX22" s="13"/>
      <c r="ADY22" s="13"/>
      <c r="ADZ22" s="13"/>
      <c r="AEA22" s="13"/>
      <c r="AEB22" s="13"/>
      <c r="AEC22" s="13"/>
      <c r="AED22" s="13"/>
      <c r="AEE22" s="13"/>
      <c r="AEF22" s="13"/>
      <c r="AEG22" s="13"/>
      <c r="AEH22" s="13"/>
      <c r="AEI22" s="13"/>
      <c r="AEJ22" s="13"/>
      <c r="AEK22" s="13"/>
      <c r="AEL22" s="13"/>
      <c r="AEM22" s="13"/>
      <c r="AEN22" s="13"/>
      <c r="AEO22" s="13"/>
      <c r="AEP22" s="13"/>
      <c r="AEQ22" s="13"/>
      <c r="AER22" s="13"/>
      <c r="AES22" s="13"/>
      <c r="AET22" s="13"/>
      <c r="AEU22" s="13"/>
      <c r="AEV22" s="13"/>
      <c r="AEW22" s="13"/>
      <c r="AEX22" s="13"/>
      <c r="AEY22" s="13"/>
      <c r="AEZ22" s="13"/>
      <c r="AFA22" s="13"/>
      <c r="AFB22" s="13"/>
      <c r="AFC22" s="13"/>
      <c r="AFD22" s="13"/>
      <c r="AFE22" s="13"/>
      <c r="AFF22" s="13"/>
      <c r="AFG22" s="13"/>
      <c r="AFH22" s="13"/>
      <c r="AFI22" s="13"/>
      <c r="AFJ22" s="13"/>
      <c r="AFK22" s="13"/>
      <c r="AFL22" s="13"/>
      <c r="AFM22" s="13"/>
      <c r="AFN22" s="13"/>
      <c r="AFO22" s="13"/>
      <c r="AFP22" s="13"/>
      <c r="AFQ22" s="13"/>
      <c r="AFR22" s="13"/>
      <c r="AFS22" s="13"/>
      <c r="AFT22" s="13"/>
      <c r="AFU22" s="13"/>
      <c r="AFV22" s="13"/>
      <c r="AFW22" s="13"/>
      <c r="AFX22" s="13"/>
      <c r="AFY22" s="13"/>
      <c r="AFZ22" s="13"/>
      <c r="AGA22" s="13"/>
      <c r="AGB22" s="13"/>
      <c r="AGC22" s="13"/>
      <c r="AGD22" s="13"/>
      <c r="AGE22" s="13"/>
      <c r="AGF22" s="13"/>
      <c r="AGG22" s="13"/>
      <c r="AGH22" s="13"/>
      <c r="AGI22" s="13"/>
      <c r="AGJ22" s="13"/>
      <c r="AGK22" s="13"/>
      <c r="AGL22" s="13"/>
      <c r="AGM22" s="13"/>
      <c r="AGN22" s="13"/>
      <c r="AGO22" s="13"/>
      <c r="AGP22" s="13"/>
      <c r="AGQ22" s="13"/>
      <c r="AGR22" s="13"/>
      <c r="AGS22" s="13"/>
      <c r="AGT22" s="13"/>
      <c r="AGU22" s="13"/>
      <c r="AGV22" s="13"/>
      <c r="AGW22" s="13"/>
      <c r="AGX22" s="13"/>
      <c r="AGY22" s="13"/>
      <c r="AGZ22" s="13"/>
      <c r="AHA22" s="13"/>
      <c r="AHB22" s="13"/>
      <c r="AHC22" s="13"/>
      <c r="AHD22" s="13"/>
      <c r="AHE22" s="13"/>
      <c r="AHF22" s="13"/>
      <c r="AHG22" s="13"/>
      <c r="AHH22" s="13"/>
      <c r="AHI22" s="13"/>
      <c r="AHJ22" s="13"/>
      <c r="AHK22" s="13"/>
      <c r="AHL22" s="13"/>
      <c r="AHM22" s="13"/>
      <c r="AHN22" s="13"/>
      <c r="AHO22" s="13"/>
      <c r="AHP22" s="13"/>
      <c r="AHQ22" s="13"/>
      <c r="AHR22" s="13"/>
      <c r="AHS22" s="13"/>
      <c r="AHT22" s="13"/>
      <c r="AHU22" s="13"/>
      <c r="AHV22" s="13"/>
      <c r="AHW22" s="13"/>
      <c r="AHX22" s="13"/>
      <c r="AHY22" s="13"/>
      <c r="AHZ22" s="13"/>
      <c r="AIA22" s="13"/>
      <c r="AIB22" s="13"/>
      <c r="AIC22" s="13"/>
      <c r="AID22" s="13"/>
      <c r="AIE22" s="13"/>
      <c r="AIF22" s="13"/>
      <c r="AIG22" s="13"/>
      <c r="AIH22" s="13"/>
      <c r="AII22" s="13"/>
      <c r="AIJ22" s="13"/>
      <c r="AIK22" s="13"/>
      <c r="AIL22" s="13"/>
      <c r="AIM22" s="13"/>
      <c r="AIN22" s="13"/>
      <c r="AIO22" s="13"/>
      <c r="AIP22" s="13"/>
      <c r="AIQ22" s="13"/>
      <c r="AIR22" s="13"/>
      <c r="AIS22" s="13"/>
      <c r="AIT22" s="13"/>
      <c r="AIU22" s="13"/>
      <c r="AIV22" s="13"/>
      <c r="AIW22" s="13"/>
      <c r="AIX22" s="13"/>
      <c r="AIY22" s="13"/>
      <c r="AIZ22" s="13"/>
      <c r="AJA22" s="13"/>
      <c r="AJB22" s="13"/>
      <c r="AJC22" s="13"/>
      <c r="AJD22" s="13"/>
      <c r="AJE22" s="13"/>
      <c r="AJF22" s="13"/>
      <c r="AJG22" s="13"/>
      <c r="AJH22" s="13"/>
      <c r="AJI22" s="13"/>
      <c r="AJJ22" s="13"/>
      <c r="AJK22" s="13"/>
      <c r="AJL22" s="13"/>
      <c r="AJM22" s="13"/>
      <c r="AJN22" s="13"/>
      <c r="AJO22" s="13"/>
      <c r="AJP22" s="13"/>
      <c r="AJQ22" s="13"/>
      <c r="AJR22" s="13"/>
      <c r="AJS22" s="13"/>
      <c r="AJT22" s="13"/>
      <c r="AJU22" s="13"/>
      <c r="AJV22" s="13"/>
      <c r="AJW22" s="13"/>
      <c r="AJX22" s="13"/>
      <c r="AJY22" s="13"/>
      <c r="AJZ22" s="13"/>
      <c r="AKA22" s="13"/>
      <c r="AKB22" s="13"/>
      <c r="AKC22" s="13"/>
      <c r="AKD22" s="13"/>
      <c r="AKE22" s="13"/>
      <c r="AKF22" s="13"/>
      <c r="AKG22" s="13"/>
      <c r="AKH22" s="13"/>
      <c r="AKI22" s="13"/>
      <c r="AKJ22" s="13"/>
      <c r="AKK22" s="13"/>
      <c r="AKL22" s="13"/>
      <c r="AKM22" s="13"/>
      <c r="AKN22" s="13"/>
      <c r="AKO22" s="13"/>
      <c r="AKP22" s="13"/>
      <c r="AKQ22" s="13"/>
      <c r="AKR22" s="13"/>
      <c r="AKS22" s="13"/>
      <c r="AKT22" s="13"/>
      <c r="AKU22" s="13"/>
      <c r="AKV22" s="13"/>
      <c r="AKW22" s="13"/>
      <c r="AKX22" s="13"/>
      <c r="AKY22" s="13"/>
      <c r="AKZ22" s="13"/>
      <c r="ALA22" s="13"/>
      <c r="ALB22" s="13"/>
      <c r="ALC22" s="13"/>
      <c r="ALD22" s="13"/>
      <c r="ALE22" s="13"/>
      <c r="ALF22" s="13"/>
      <c r="ALG22" s="13"/>
      <c r="ALH22" s="13"/>
      <c r="ALI22" s="13"/>
      <c r="ALJ22" s="13"/>
      <c r="ALK22" s="13"/>
      <c r="ALL22" s="13"/>
      <c r="ALM22" s="13"/>
      <c r="ALN22" s="13"/>
      <c r="ALO22" s="13"/>
    </row>
    <row r="23" spans="1:1012" x14ac:dyDescent="0.35">
      <c r="A23" s="1" t="s">
        <v>40</v>
      </c>
      <c r="E23" s="121">
        <v>0</v>
      </c>
      <c r="F23" s="144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13"/>
      <c r="HQ23" s="13"/>
      <c r="HR23" s="13"/>
      <c r="HS23" s="13"/>
      <c r="HT23" s="13"/>
      <c r="HU23" s="13"/>
      <c r="HV23" s="13"/>
      <c r="HW23" s="13"/>
      <c r="HX23" s="13"/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13"/>
      <c r="IK23" s="13"/>
      <c r="IL23" s="13"/>
      <c r="IM23" s="13"/>
      <c r="IN23" s="13"/>
      <c r="IO23" s="13"/>
      <c r="IP23" s="13"/>
      <c r="IQ23" s="13"/>
      <c r="IR23" s="13"/>
      <c r="IS23" s="13"/>
      <c r="IT23" s="13"/>
      <c r="IU23" s="13"/>
      <c r="IV23" s="13"/>
      <c r="IW23" s="13"/>
      <c r="IX23" s="13"/>
      <c r="IY23" s="13"/>
      <c r="IZ23" s="13"/>
      <c r="JA23" s="13"/>
      <c r="JB23" s="13"/>
      <c r="JC23" s="13"/>
      <c r="JD23" s="13"/>
      <c r="JE23" s="13"/>
      <c r="JF23" s="13"/>
      <c r="JG23" s="13"/>
      <c r="JH23" s="13"/>
      <c r="JI23" s="13"/>
      <c r="JJ23" s="13"/>
      <c r="JK23" s="13"/>
      <c r="JL23" s="13"/>
      <c r="JM23" s="13"/>
      <c r="JN23" s="13"/>
      <c r="JO23" s="13"/>
      <c r="JP23" s="13"/>
      <c r="JQ23" s="13"/>
      <c r="JR23" s="13"/>
      <c r="JS23" s="13"/>
      <c r="JT23" s="13"/>
      <c r="JU23" s="13"/>
      <c r="JV23" s="13"/>
      <c r="JW23" s="13"/>
      <c r="JX23" s="13"/>
      <c r="JY23" s="13"/>
      <c r="JZ23" s="13"/>
      <c r="KA23" s="13"/>
      <c r="KB23" s="13"/>
      <c r="KC23" s="13"/>
      <c r="KD23" s="13"/>
      <c r="KE23" s="13"/>
      <c r="KF23" s="13"/>
      <c r="KG23" s="13"/>
      <c r="KH23" s="13"/>
      <c r="KI23" s="13"/>
      <c r="KJ23" s="13"/>
      <c r="KK23" s="13"/>
      <c r="KL23" s="13"/>
      <c r="KM23" s="13"/>
      <c r="KN23" s="13"/>
      <c r="KO23" s="13"/>
      <c r="KP23" s="13"/>
      <c r="KQ23" s="13"/>
      <c r="KR23" s="13"/>
      <c r="KS23" s="13"/>
      <c r="KT23" s="13"/>
      <c r="KU23" s="13"/>
      <c r="KV23" s="13"/>
      <c r="KW23" s="13"/>
      <c r="KX23" s="13"/>
      <c r="KY23" s="13"/>
      <c r="KZ23" s="13"/>
      <c r="LA23" s="13"/>
      <c r="LB23" s="13"/>
      <c r="LC23" s="13"/>
      <c r="LD23" s="13"/>
      <c r="LE23" s="13"/>
      <c r="LF23" s="13"/>
      <c r="LG23" s="13"/>
      <c r="LH23" s="13"/>
      <c r="LI23" s="13"/>
      <c r="LJ23" s="13"/>
      <c r="LK23" s="13"/>
      <c r="LL23" s="13"/>
      <c r="LM23" s="13"/>
      <c r="LN23" s="13"/>
      <c r="LO23" s="13"/>
      <c r="LP23" s="13"/>
      <c r="LQ23" s="13"/>
      <c r="LR23" s="13"/>
      <c r="LS23" s="13"/>
      <c r="LT23" s="13"/>
      <c r="LU23" s="13"/>
      <c r="LV23" s="13"/>
      <c r="LW23" s="13"/>
      <c r="LX23" s="13"/>
      <c r="LY23" s="13"/>
      <c r="LZ23" s="13"/>
      <c r="MA23" s="13"/>
      <c r="MB23" s="13"/>
      <c r="MC23" s="13"/>
      <c r="MD23" s="13"/>
      <c r="ME23" s="13"/>
      <c r="MF23" s="13"/>
      <c r="MG23" s="13"/>
      <c r="MH23" s="13"/>
      <c r="MI23" s="13"/>
      <c r="MJ23" s="13"/>
      <c r="MK23" s="13"/>
      <c r="ML23" s="13"/>
      <c r="MM23" s="13"/>
      <c r="MN23" s="13"/>
      <c r="MO23" s="13"/>
      <c r="MP23" s="13"/>
      <c r="MQ23" s="13"/>
      <c r="MR23" s="13"/>
      <c r="MS23" s="13"/>
      <c r="MT23" s="13"/>
      <c r="MU23" s="13"/>
      <c r="MV23" s="13"/>
      <c r="MW23" s="13"/>
      <c r="MX23" s="13"/>
      <c r="MY23" s="13"/>
      <c r="MZ23" s="13"/>
      <c r="NA23" s="13"/>
      <c r="NB23" s="13"/>
      <c r="NC23" s="13"/>
      <c r="ND23" s="13"/>
      <c r="NE23" s="13"/>
      <c r="NF23" s="13"/>
      <c r="NG23" s="13"/>
      <c r="NH23" s="13"/>
      <c r="NI23" s="13"/>
      <c r="NJ23" s="13"/>
      <c r="NK23" s="13"/>
      <c r="NL23" s="13"/>
      <c r="NM23" s="13"/>
      <c r="NN23" s="13"/>
      <c r="NO23" s="13"/>
      <c r="NP23" s="13"/>
      <c r="NQ23" s="13"/>
      <c r="NR23" s="13"/>
      <c r="NS23" s="13"/>
      <c r="NT23" s="13"/>
      <c r="NU23" s="13"/>
      <c r="NV23" s="13"/>
      <c r="NW23" s="13"/>
      <c r="NX23" s="13"/>
      <c r="NY23" s="13"/>
      <c r="NZ23" s="13"/>
      <c r="OA23" s="13"/>
      <c r="OB23" s="13"/>
      <c r="OC23" s="13"/>
      <c r="OD23" s="13"/>
      <c r="OE23" s="13"/>
      <c r="OF23" s="13"/>
      <c r="OG23" s="13"/>
      <c r="OH23" s="13"/>
      <c r="OI23" s="13"/>
      <c r="OJ23" s="13"/>
      <c r="OK23" s="13"/>
      <c r="OL23" s="13"/>
      <c r="OM23" s="13"/>
      <c r="ON23" s="13"/>
      <c r="OO23" s="13"/>
      <c r="OP23" s="13"/>
      <c r="OQ23" s="13"/>
      <c r="OR23" s="13"/>
      <c r="OS23" s="13"/>
      <c r="OT23" s="13"/>
      <c r="OU23" s="13"/>
      <c r="OV23" s="13"/>
      <c r="OW23" s="13"/>
      <c r="OX23" s="13"/>
      <c r="OY23" s="13"/>
      <c r="OZ23" s="13"/>
      <c r="PA23" s="13"/>
      <c r="PB23" s="13"/>
      <c r="PC23" s="13"/>
      <c r="PD23" s="13"/>
      <c r="PE23" s="13"/>
      <c r="PF23" s="13"/>
      <c r="PG23" s="13"/>
      <c r="PH23" s="13"/>
      <c r="PI23" s="13"/>
      <c r="PJ23" s="13"/>
      <c r="PK23" s="13"/>
      <c r="PL23" s="13"/>
      <c r="PM23" s="13"/>
      <c r="PN23" s="13"/>
      <c r="PO23" s="13"/>
      <c r="PP23" s="13"/>
      <c r="PQ23" s="13"/>
      <c r="PR23" s="13"/>
      <c r="PS23" s="13"/>
      <c r="PT23" s="13"/>
      <c r="PU23" s="13"/>
      <c r="PV23" s="13"/>
      <c r="PW23" s="13"/>
      <c r="PX23" s="13"/>
      <c r="PY23" s="13"/>
      <c r="PZ23" s="13"/>
      <c r="QA23" s="13"/>
      <c r="QB23" s="13"/>
      <c r="QC23" s="13"/>
      <c r="QD23" s="13"/>
      <c r="QE23" s="13"/>
      <c r="QF23" s="13"/>
      <c r="QG23" s="13"/>
      <c r="QH23" s="13"/>
      <c r="QI23" s="13"/>
      <c r="QJ23" s="13"/>
      <c r="QK23" s="13"/>
      <c r="QL23" s="13"/>
      <c r="QM23" s="13"/>
      <c r="QN23" s="13"/>
      <c r="QO23" s="13"/>
      <c r="QP23" s="13"/>
      <c r="QQ23" s="13"/>
      <c r="QR23" s="13"/>
      <c r="QS23" s="13"/>
      <c r="QT23" s="13"/>
      <c r="QU23" s="13"/>
      <c r="QV23" s="13"/>
      <c r="QW23" s="13"/>
      <c r="QX23" s="13"/>
      <c r="QY23" s="13"/>
      <c r="QZ23" s="13"/>
      <c r="RA23" s="13"/>
      <c r="RB23" s="13"/>
      <c r="RC23" s="13"/>
      <c r="RD23" s="13"/>
      <c r="RE23" s="13"/>
      <c r="RF23" s="13"/>
      <c r="RG23" s="13"/>
      <c r="RH23" s="13"/>
      <c r="RI23" s="13"/>
      <c r="RJ23" s="13"/>
      <c r="RK23" s="13"/>
      <c r="RL23" s="13"/>
      <c r="RM23" s="13"/>
      <c r="RN23" s="13"/>
      <c r="RO23" s="13"/>
      <c r="RP23" s="13"/>
      <c r="RQ23" s="13"/>
      <c r="RR23" s="13"/>
      <c r="RS23" s="13"/>
      <c r="RT23" s="13"/>
      <c r="RU23" s="13"/>
      <c r="RV23" s="13"/>
      <c r="RW23" s="13"/>
      <c r="RX23" s="13"/>
      <c r="RY23" s="13"/>
      <c r="RZ23" s="13"/>
      <c r="SA23" s="13"/>
      <c r="SB23" s="13"/>
      <c r="SC23" s="13"/>
      <c r="SD23" s="13"/>
      <c r="SE23" s="13"/>
      <c r="SF23" s="13"/>
      <c r="SG23" s="13"/>
      <c r="SH23" s="13"/>
      <c r="SI23" s="13"/>
      <c r="SJ23" s="13"/>
      <c r="SK23" s="13"/>
      <c r="SL23" s="13"/>
      <c r="SM23" s="13"/>
      <c r="SN23" s="13"/>
      <c r="SO23" s="13"/>
      <c r="SP23" s="13"/>
      <c r="SQ23" s="13"/>
      <c r="SR23" s="13"/>
      <c r="SS23" s="13"/>
      <c r="ST23" s="13"/>
      <c r="SU23" s="13"/>
      <c r="SV23" s="13"/>
      <c r="SW23" s="13"/>
      <c r="SX23" s="13"/>
      <c r="SY23" s="13"/>
      <c r="SZ23" s="13"/>
      <c r="TA23" s="13"/>
      <c r="TB23" s="13"/>
      <c r="TC23" s="13"/>
      <c r="TD23" s="13"/>
      <c r="TE23" s="13"/>
      <c r="TF23" s="13"/>
      <c r="TG23" s="13"/>
      <c r="TH23" s="13"/>
      <c r="TI23" s="13"/>
      <c r="TJ23" s="13"/>
      <c r="TK23" s="13"/>
      <c r="TL23" s="13"/>
      <c r="TM23" s="13"/>
      <c r="TN23" s="13"/>
      <c r="TO23" s="13"/>
      <c r="TP23" s="13"/>
      <c r="TQ23" s="13"/>
      <c r="TR23" s="13"/>
      <c r="TS23" s="13"/>
      <c r="TT23" s="13"/>
      <c r="TU23" s="13"/>
      <c r="TV23" s="13"/>
      <c r="TW23" s="13"/>
      <c r="TX23" s="13"/>
      <c r="TY23" s="13"/>
      <c r="TZ23" s="13"/>
      <c r="UA23" s="13"/>
      <c r="UB23" s="13"/>
      <c r="UC23" s="13"/>
      <c r="UD23" s="13"/>
      <c r="UE23" s="13"/>
      <c r="UF23" s="13"/>
      <c r="UG23" s="13"/>
      <c r="UH23" s="13"/>
      <c r="UI23" s="13"/>
      <c r="UJ23" s="13"/>
      <c r="UK23" s="13"/>
      <c r="UL23" s="13"/>
      <c r="UM23" s="13"/>
      <c r="UN23" s="13"/>
      <c r="UO23" s="13"/>
      <c r="UP23" s="13"/>
      <c r="UQ23" s="13"/>
      <c r="UR23" s="13"/>
      <c r="US23" s="13"/>
      <c r="UT23" s="13"/>
      <c r="UU23" s="13"/>
      <c r="UV23" s="13"/>
      <c r="UW23" s="13"/>
      <c r="UX23" s="13"/>
      <c r="UY23" s="13"/>
      <c r="UZ23" s="13"/>
      <c r="VA23" s="13"/>
      <c r="VB23" s="13"/>
      <c r="VC23" s="13"/>
      <c r="VD23" s="13"/>
      <c r="VE23" s="13"/>
      <c r="VF23" s="13"/>
      <c r="VG23" s="13"/>
      <c r="VH23" s="13"/>
      <c r="VI23" s="13"/>
      <c r="VJ23" s="13"/>
      <c r="VK23" s="13"/>
      <c r="VL23" s="13"/>
      <c r="VM23" s="13"/>
      <c r="VN23" s="13"/>
      <c r="VO23" s="13"/>
      <c r="VP23" s="13"/>
      <c r="VQ23" s="13"/>
      <c r="VR23" s="13"/>
      <c r="VS23" s="13"/>
      <c r="VT23" s="13"/>
      <c r="VU23" s="13"/>
      <c r="VV23" s="13"/>
      <c r="VW23" s="13"/>
      <c r="VX23" s="13"/>
      <c r="VY23" s="13"/>
      <c r="VZ23" s="13"/>
      <c r="WA23" s="13"/>
      <c r="WB23" s="13"/>
      <c r="WC23" s="13"/>
      <c r="WD23" s="13"/>
      <c r="WE23" s="13"/>
      <c r="WF23" s="13"/>
      <c r="WG23" s="13"/>
      <c r="WH23" s="13"/>
      <c r="WI23" s="13"/>
      <c r="WJ23" s="13"/>
      <c r="WK23" s="13"/>
      <c r="WL23" s="13"/>
      <c r="WM23" s="13"/>
      <c r="WN23" s="13"/>
      <c r="WO23" s="13"/>
      <c r="WP23" s="13"/>
      <c r="WQ23" s="13"/>
      <c r="WR23" s="13"/>
      <c r="WS23" s="13"/>
      <c r="WT23" s="13"/>
      <c r="WU23" s="13"/>
      <c r="WV23" s="13"/>
      <c r="WW23" s="13"/>
      <c r="WX23" s="13"/>
      <c r="WY23" s="13"/>
      <c r="WZ23" s="13"/>
      <c r="XA23" s="13"/>
      <c r="XB23" s="13"/>
      <c r="XC23" s="13"/>
      <c r="XD23" s="13"/>
      <c r="XE23" s="13"/>
      <c r="XF23" s="13"/>
      <c r="XG23" s="13"/>
      <c r="XH23" s="13"/>
      <c r="XI23" s="13"/>
      <c r="XJ23" s="13"/>
      <c r="XK23" s="13"/>
      <c r="XL23" s="13"/>
      <c r="XM23" s="13"/>
      <c r="XN23" s="13"/>
      <c r="XO23" s="13"/>
      <c r="XP23" s="13"/>
      <c r="XQ23" s="13"/>
      <c r="XR23" s="13"/>
      <c r="XS23" s="13"/>
      <c r="XT23" s="13"/>
      <c r="XU23" s="13"/>
      <c r="XV23" s="13"/>
      <c r="XW23" s="13"/>
      <c r="XX23" s="13"/>
      <c r="XY23" s="13"/>
      <c r="XZ23" s="13"/>
      <c r="YA23" s="13"/>
      <c r="YB23" s="13"/>
      <c r="YC23" s="13"/>
      <c r="YD23" s="13"/>
      <c r="YE23" s="13"/>
      <c r="YF23" s="13"/>
      <c r="YG23" s="13"/>
      <c r="YH23" s="13"/>
      <c r="YI23" s="13"/>
      <c r="YJ23" s="13"/>
      <c r="YK23" s="13"/>
      <c r="YL23" s="13"/>
      <c r="YM23" s="13"/>
      <c r="YN23" s="13"/>
      <c r="YO23" s="13"/>
      <c r="YP23" s="13"/>
      <c r="YQ23" s="13"/>
      <c r="YR23" s="13"/>
      <c r="YS23" s="13"/>
      <c r="YT23" s="13"/>
      <c r="YU23" s="13"/>
      <c r="YV23" s="13"/>
      <c r="YW23" s="13"/>
      <c r="YX23" s="13"/>
      <c r="YY23" s="13"/>
      <c r="YZ23" s="13"/>
      <c r="ZA23" s="13"/>
      <c r="ZB23" s="13"/>
      <c r="ZC23" s="13"/>
      <c r="ZD23" s="13"/>
      <c r="ZE23" s="13"/>
      <c r="ZF23" s="13"/>
      <c r="ZG23" s="13"/>
      <c r="ZH23" s="13"/>
      <c r="ZI23" s="13"/>
      <c r="ZJ23" s="13"/>
      <c r="ZK23" s="13"/>
      <c r="ZL23" s="13"/>
      <c r="ZM23" s="13"/>
      <c r="ZN23" s="13"/>
      <c r="ZO23" s="13"/>
      <c r="ZP23" s="13"/>
      <c r="ZQ23" s="13"/>
      <c r="ZR23" s="13"/>
      <c r="ZS23" s="13"/>
      <c r="ZT23" s="13"/>
      <c r="ZU23" s="13"/>
      <c r="ZV23" s="13"/>
      <c r="ZW23" s="13"/>
      <c r="ZX23" s="13"/>
      <c r="ZY23" s="13"/>
      <c r="ZZ23" s="13"/>
      <c r="AAA23" s="13"/>
      <c r="AAB23" s="13"/>
      <c r="AAC23" s="13"/>
      <c r="AAD23" s="13"/>
      <c r="AAE23" s="13"/>
      <c r="AAF23" s="13"/>
      <c r="AAG23" s="13"/>
      <c r="AAH23" s="13"/>
      <c r="AAI23" s="13"/>
      <c r="AAJ23" s="13"/>
      <c r="AAK23" s="13"/>
      <c r="AAL23" s="13"/>
      <c r="AAM23" s="13"/>
      <c r="AAN23" s="13"/>
      <c r="AAO23" s="13"/>
      <c r="AAP23" s="13"/>
      <c r="AAQ23" s="13"/>
      <c r="AAR23" s="13"/>
      <c r="AAS23" s="13"/>
      <c r="AAT23" s="13"/>
      <c r="AAU23" s="13"/>
      <c r="AAV23" s="13"/>
      <c r="AAW23" s="13"/>
      <c r="AAX23" s="13"/>
      <c r="AAY23" s="13"/>
      <c r="AAZ23" s="13"/>
      <c r="ABA23" s="13"/>
      <c r="ABB23" s="13"/>
      <c r="ABC23" s="13"/>
      <c r="ABD23" s="13"/>
      <c r="ABE23" s="13"/>
      <c r="ABF23" s="13"/>
      <c r="ABG23" s="13"/>
      <c r="ABH23" s="13"/>
      <c r="ABI23" s="13"/>
      <c r="ABJ23" s="13"/>
      <c r="ABK23" s="13"/>
      <c r="ABL23" s="13"/>
      <c r="ABM23" s="13"/>
      <c r="ABN23" s="13"/>
      <c r="ABO23" s="13"/>
      <c r="ABP23" s="13"/>
      <c r="ABQ23" s="13"/>
      <c r="ABR23" s="13"/>
      <c r="ABS23" s="13"/>
      <c r="ABT23" s="13"/>
      <c r="ABU23" s="13"/>
      <c r="ABV23" s="13"/>
      <c r="ABW23" s="13"/>
      <c r="ABX23" s="13"/>
      <c r="ABY23" s="13"/>
      <c r="ABZ23" s="13"/>
      <c r="ACA23" s="13"/>
      <c r="ACB23" s="13"/>
      <c r="ACC23" s="13"/>
      <c r="ACD23" s="13"/>
      <c r="ACE23" s="13"/>
      <c r="ACF23" s="13"/>
      <c r="ACG23" s="13"/>
      <c r="ACH23" s="13"/>
      <c r="ACI23" s="13"/>
      <c r="ACJ23" s="13"/>
      <c r="ACK23" s="13"/>
      <c r="ACL23" s="13"/>
      <c r="ACM23" s="13"/>
      <c r="ACN23" s="13"/>
      <c r="ACO23" s="13"/>
      <c r="ACP23" s="13"/>
      <c r="ACQ23" s="13"/>
      <c r="ACR23" s="13"/>
      <c r="ACS23" s="13"/>
      <c r="ACT23" s="13"/>
      <c r="ACU23" s="13"/>
      <c r="ACV23" s="13"/>
      <c r="ACW23" s="13"/>
      <c r="ACX23" s="13"/>
      <c r="ACY23" s="13"/>
      <c r="ACZ23" s="13"/>
      <c r="ADA23" s="13"/>
      <c r="ADB23" s="13"/>
      <c r="ADC23" s="13"/>
      <c r="ADD23" s="13"/>
      <c r="ADE23" s="13"/>
      <c r="ADF23" s="13"/>
      <c r="ADG23" s="13"/>
      <c r="ADH23" s="13"/>
      <c r="ADI23" s="13"/>
      <c r="ADJ23" s="13"/>
      <c r="ADK23" s="13"/>
      <c r="ADL23" s="13"/>
      <c r="ADM23" s="13"/>
      <c r="ADN23" s="13"/>
      <c r="ADO23" s="13"/>
      <c r="ADP23" s="13"/>
      <c r="ADQ23" s="13"/>
      <c r="ADR23" s="13"/>
      <c r="ADS23" s="13"/>
      <c r="ADT23" s="13"/>
      <c r="ADU23" s="13"/>
      <c r="ADV23" s="13"/>
      <c r="ADW23" s="13"/>
      <c r="ADX23" s="13"/>
      <c r="ADY23" s="13"/>
      <c r="ADZ23" s="13"/>
      <c r="AEA23" s="13"/>
      <c r="AEB23" s="13"/>
      <c r="AEC23" s="13"/>
      <c r="AED23" s="13"/>
      <c r="AEE23" s="13"/>
      <c r="AEF23" s="13"/>
      <c r="AEG23" s="13"/>
      <c r="AEH23" s="13"/>
      <c r="AEI23" s="13"/>
      <c r="AEJ23" s="13"/>
      <c r="AEK23" s="13"/>
      <c r="AEL23" s="13"/>
      <c r="AEM23" s="13"/>
      <c r="AEN23" s="13"/>
      <c r="AEO23" s="13"/>
      <c r="AEP23" s="13"/>
      <c r="AEQ23" s="13"/>
      <c r="AER23" s="13"/>
      <c r="AES23" s="13"/>
      <c r="AET23" s="13"/>
      <c r="AEU23" s="13"/>
      <c r="AEV23" s="13"/>
      <c r="AEW23" s="13"/>
      <c r="AEX23" s="13"/>
      <c r="AEY23" s="13"/>
      <c r="AEZ23" s="13"/>
      <c r="AFA23" s="13"/>
      <c r="AFB23" s="13"/>
      <c r="AFC23" s="13"/>
      <c r="AFD23" s="13"/>
      <c r="AFE23" s="13"/>
      <c r="AFF23" s="13"/>
      <c r="AFG23" s="13"/>
      <c r="AFH23" s="13"/>
      <c r="AFI23" s="13"/>
      <c r="AFJ23" s="13"/>
      <c r="AFK23" s="13"/>
      <c r="AFL23" s="13"/>
      <c r="AFM23" s="13"/>
      <c r="AFN23" s="13"/>
      <c r="AFO23" s="13"/>
      <c r="AFP23" s="13"/>
      <c r="AFQ23" s="13"/>
      <c r="AFR23" s="13"/>
      <c r="AFS23" s="13"/>
      <c r="AFT23" s="13"/>
      <c r="AFU23" s="13"/>
      <c r="AFV23" s="13"/>
      <c r="AFW23" s="13"/>
      <c r="AFX23" s="13"/>
      <c r="AFY23" s="13"/>
      <c r="AFZ23" s="13"/>
      <c r="AGA23" s="13"/>
      <c r="AGB23" s="13"/>
      <c r="AGC23" s="13"/>
      <c r="AGD23" s="13"/>
      <c r="AGE23" s="13"/>
      <c r="AGF23" s="13"/>
      <c r="AGG23" s="13"/>
      <c r="AGH23" s="13"/>
      <c r="AGI23" s="13"/>
      <c r="AGJ23" s="13"/>
      <c r="AGK23" s="13"/>
      <c r="AGL23" s="13"/>
      <c r="AGM23" s="13"/>
      <c r="AGN23" s="13"/>
      <c r="AGO23" s="13"/>
      <c r="AGP23" s="13"/>
      <c r="AGQ23" s="13"/>
      <c r="AGR23" s="13"/>
      <c r="AGS23" s="13"/>
      <c r="AGT23" s="13"/>
      <c r="AGU23" s="13"/>
      <c r="AGV23" s="13"/>
      <c r="AGW23" s="13"/>
      <c r="AGX23" s="13"/>
      <c r="AGY23" s="13"/>
      <c r="AGZ23" s="13"/>
      <c r="AHA23" s="13"/>
      <c r="AHB23" s="13"/>
      <c r="AHC23" s="13"/>
      <c r="AHD23" s="13"/>
      <c r="AHE23" s="13"/>
      <c r="AHF23" s="13"/>
      <c r="AHG23" s="13"/>
      <c r="AHH23" s="13"/>
      <c r="AHI23" s="13"/>
      <c r="AHJ23" s="13"/>
      <c r="AHK23" s="13"/>
      <c r="AHL23" s="13"/>
      <c r="AHM23" s="13"/>
      <c r="AHN23" s="13"/>
      <c r="AHO23" s="13"/>
      <c r="AHP23" s="13"/>
      <c r="AHQ23" s="13"/>
      <c r="AHR23" s="13"/>
      <c r="AHS23" s="13"/>
      <c r="AHT23" s="13"/>
      <c r="AHU23" s="13"/>
      <c r="AHV23" s="13"/>
      <c r="AHW23" s="13"/>
      <c r="AHX23" s="13"/>
      <c r="AHY23" s="13"/>
      <c r="AHZ23" s="13"/>
      <c r="AIA23" s="13"/>
      <c r="AIB23" s="13"/>
      <c r="AIC23" s="13"/>
      <c r="AID23" s="13"/>
      <c r="AIE23" s="13"/>
      <c r="AIF23" s="13"/>
      <c r="AIG23" s="13"/>
      <c r="AIH23" s="13"/>
      <c r="AII23" s="13"/>
      <c r="AIJ23" s="13"/>
      <c r="AIK23" s="13"/>
      <c r="AIL23" s="13"/>
      <c r="AIM23" s="13"/>
      <c r="AIN23" s="13"/>
      <c r="AIO23" s="13"/>
      <c r="AIP23" s="13"/>
      <c r="AIQ23" s="13"/>
      <c r="AIR23" s="13"/>
      <c r="AIS23" s="13"/>
      <c r="AIT23" s="13"/>
      <c r="AIU23" s="13"/>
      <c r="AIV23" s="13"/>
      <c r="AIW23" s="13"/>
      <c r="AIX23" s="13"/>
      <c r="AIY23" s="13"/>
      <c r="AIZ23" s="13"/>
      <c r="AJA23" s="13"/>
      <c r="AJB23" s="13"/>
      <c r="AJC23" s="13"/>
      <c r="AJD23" s="13"/>
      <c r="AJE23" s="13"/>
      <c r="AJF23" s="13"/>
      <c r="AJG23" s="13"/>
      <c r="AJH23" s="13"/>
      <c r="AJI23" s="13"/>
      <c r="AJJ23" s="13"/>
      <c r="AJK23" s="13"/>
      <c r="AJL23" s="13"/>
      <c r="AJM23" s="13"/>
      <c r="AJN23" s="13"/>
      <c r="AJO23" s="13"/>
      <c r="AJP23" s="13"/>
      <c r="AJQ23" s="13"/>
      <c r="AJR23" s="13"/>
      <c r="AJS23" s="13"/>
      <c r="AJT23" s="13"/>
      <c r="AJU23" s="13"/>
      <c r="AJV23" s="13"/>
      <c r="AJW23" s="13"/>
      <c r="AJX23" s="13"/>
      <c r="AJY23" s="13"/>
      <c r="AJZ23" s="13"/>
      <c r="AKA23" s="13"/>
      <c r="AKB23" s="13"/>
      <c r="AKC23" s="13"/>
      <c r="AKD23" s="13"/>
      <c r="AKE23" s="13"/>
      <c r="AKF23" s="13"/>
      <c r="AKG23" s="13"/>
      <c r="AKH23" s="13"/>
      <c r="AKI23" s="13"/>
      <c r="AKJ23" s="13"/>
      <c r="AKK23" s="13"/>
      <c r="AKL23" s="13"/>
      <c r="AKM23" s="13"/>
      <c r="AKN23" s="13"/>
      <c r="AKO23" s="13"/>
      <c r="AKP23" s="13"/>
      <c r="AKQ23" s="13"/>
      <c r="AKR23" s="13"/>
      <c r="AKS23" s="13"/>
      <c r="AKT23" s="13"/>
      <c r="AKU23" s="13"/>
      <c r="AKV23" s="13"/>
      <c r="AKW23" s="13"/>
      <c r="AKX23" s="13"/>
      <c r="AKY23" s="13"/>
      <c r="AKZ23" s="13"/>
      <c r="ALA23" s="13"/>
      <c r="ALB23" s="13"/>
      <c r="ALC23" s="13"/>
      <c r="ALD23" s="13"/>
      <c r="ALE23" s="13"/>
      <c r="ALF23" s="13"/>
      <c r="ALG23" s="13"/>
      <c r="ALH23" s="13"/>
      <c r="ALI23" s="13"/>
      <c r="ALJ23" s="13"/>
      <c r="ALK23" s="13"/>
      <c r="ALL23" s="13"/>
      <c r="ALM23" s="13"/>
      <c r="ALN23" s="13"/>
      <c r="ALO23" s="13"/>
    </row>
    <row r="24" spans="1:1012" x14ac:dyDescent="0.35">
      <c r="E24" s="73"/>
      <c r="F24" s="144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13"/>
      <c r="LO24" s="13"/>
      <c r="LP24" s="13"/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3"/>
      <c r="MC24" s="13"/>
      <c r="MD24" s="13"/>
      <c r="ME24" s="13"/>
      <c r="MF24" s="13"/>
      <c r="MG24" s="13"/>
      <c r="MH24" s="13"/>
      <c r="MI24" s="13"/>
      <c r="MJ24" s="13"/>
      <c r="MK24" s="13"/>
      <c r="ML24" s="13"/>
      <c r="MM24" s="13"/>
      <c r="MN24" s="13"/>
      <c r="MO24" s="13"/>
      <c r="MP24" s="13"/>
      <c r="MQ24" s="13"/>
      <c r="MR24" s="13"/>
      <c r="MS24" s="13"/>
      <c r="MT24" s="13"/>
      <c r="MU24" s="13"/>
      <c r="MV24" s="13"/>
      <c r="MW24" s="13"/>
      <c r="MX24" s="13"/>
      <c r="MY24" s="13"/>
      <c r="MZ24" s="13"/>
      <c r="NA24" s="13"/>
      <c r="NB24" s="13"/>
      <c r="NC24" s="13"/>
      <c r="ND24" s="13"/>
      <c r="NE24" s="13"/>
      <c r="NF24" s="13"/>
      <c r="NG24" s="13"/>
      <c r="NH24" s="13"/>
      <c r="NI24" s="13"/>
      <c r="NJ24" s="13"/>
      <c r="NK24" s="13"/>
      <c r="NL24" s="13"/>
      <c r="NM24" s="13"/>
      <c r="NN24" s="13"/>
      <c r="NO24" s="13"/>
      <c r="NP24" s="13"/>
      <c r="NQ24" s="13"/>
      <c r="NR24" s="13"/>
      <c r="NS24" s="13"/>
      <c r="NT24" s="13"/>
      <c r="NU24" s="13"/>
      <c r="NV24" s="13"/>
      <c r="NW24" s="13"/>
      <c r="NX24" s="13"/>
      <c r="NY24" s="13"/>
      <c r="NZ24" s="13"/>
      <c r="OA24" s="13"/>
      <c r="OB24" s="13"/>
      <c r="OC24" s="13"/>
      <c r="OD24" s="13"/>
      <c r="OE24" s="13"/>
      <c r="OF24" s="13"/>
      <c r="OG24" s="13"/>
      <c r="OH24" s="13"/>
      <c r="OI24" s="13"/>
      <c r="OJ24" s="13"/>
      <c r="OK24" s="13"/>
      <c r="OL24" s="13"/>
      <c r="OM24" s="13"/>
      <c r="ON24" s="13"/>
      <c r="OO24" s="13"/>
      <c r="OP24" s="13"/>
      <c r="OQ24" s="13"/>
      <c r="OR24" s="13"/>
      <c r="OS24" s="13"/>
      <c r="OT24" s="13"/>
      <c r="OU24" s="13"/>
      <c r="OV24" s="13"/>
      <c r="OW24" s="13"/>
      <c r="OX24" s="13"/>
      <c r="OY24" s="13"/>
      <c r="OZ24" s="13"/>
      <c r="PA24" s="13"/>
      <c r="PB24" s="13"/>
      <c r="PC24" s="13"/>
      <c r="PD24" s="13"/>
      <c r="PE24" s="13"/>
      <c r="PF24" s="13"/>
      <c r="PG24" s="13"/>
      <c r="PH24" s="13"/>
      <c r="PI24" s="13"/>
      <c r="PJ24" s="13"/>
      <c r="PK24" s="13"/>
      <c r="PL24" s="13"/>
      <c r="PM24" s="13"/>
      <c r="PN24" s="13"/>
      <c r="PO24" s="13"/>
      <c r="PP24" s="13"/>
      <c r="PQ24" s="13"/>
      <c r="PR24" s="13"/>
      <c r="PS24" s="13"/>
      <c r="PT24" s="13"/>
      <c r="PU24" s="13"/>
      <c r="PV24" s="13"/>
      <c r="PW24" s="13"/>
      <c r="PX24" s="13"/>
      <c r="PY24" s="13"/>
      <c r="PZ24" s="13"/>
      <c r="QA24" s="13"/>
      <c r="QB24" s="13"/>
      <c r="QC24" s="13"/>
      <c r="QD24" s="13"/>
      <c r="QE24" s="13"/>
      <c r="QF24" s="13"/>
      <c r="QG24" s="13"/>
      <c r="QH24" s="13"/>
      <c r="QI24" s="13"/>
      <c r="QJ24" s="13"/>
      <c r="QK24" s="13"/>
      <c r="QL24" s="13"/>
      <c r="QM24" s="13"/>
      <c r="QN24" s="13"/>
      <c r="QO24" s="13"/>
      <c r="QP24" s="13"/>
      <c r="QQ24" s="13"/>
      <c r="QR24" s="13"/>
      <c r="QS24" s="13"/>
      <c r="QT24" s="13"/>
      <c r="QU24" s="13"/>
      <c r="QV24" s="13"/>
      <c r="QW24" s="13"/>
      <c r="QX24" s="13"/>
      <c r="QY24" s="13"/>
      <c r="QZ24" s="13"/>
      <c r="RA24" s="13"/>
      <c r="RB24" s="13"/>
      <c r="RC24" s="13"/>
      <c r="RD24" s="13"/>
      <c r="RE24" s="13"/>
      <c r="RF24" s="13"/>
      <c r="RG24" s="13"/>
      <c r="RH24" s="13"/>
      <c r="RI24" s="13"/>
      <c r="RJ24" s="13"/>
      <c r="RK24" s="13"/>
      <c r="RL24" s="13"/>
      <c r="RM24" s="13"/>
      <c r="RN24" s="13"/>
      <c r="RO24" s="13"/>
      <c r="RP24" s="13"/>
      <c r="RQ24" s="13"/>
      <c r="RR24" s="13"/>
      <c r="RS24" s="13"/>
      <c r="RT24" s="13"/>
      <c r="RU24" s="13"/>
      <c r="RV24" s="13"/>
      <c r="RW24" s="13"/>
      <c r="RX24" s="13"/>
      <c r="RY24" s="13"/>
      <c r="RZ24" s="13"/>
      <c r="SA24" s="13"/>
      <c r="SB24" s="13"/>
      <c r="SC24" s="13"/>
      <c r="SD24" s="13"/>
      <c r="SE24" s="13"/>
      <c r="SF24" s="13"/>
      <c r="SG24" s="13"/>
      <c r="SH24" s="13"/>
      <c r="SI24" s="13"/>
      <c r="SJ24" s="13"/>
      <c r="SK24" s="13"/>
      <c r="SL24" s="13"/>
      <c r="SM24" s="13"/>
      <c r="SN24" s="13"/>
      <c r="SO24" s="13"/>
      <c r="SP24" s="13"/>
      <c r="SQ24" s="13"/>
      <c r="SR24" s="13"/>
      <c r="SS24" s="13"/>
      <c r="ST24" s="13"/>
      <c r="SU24" s="13"/>
      <c r="SV24" s="13"/>
      <c r="SW24" s="13"/>
      <c r="SX24" s="13"/>
      <c r="SY24" s="13"/>
      <c r="SZ24" s="13"/>
      <c r="TA24" s="13"/>
      <c r="TB24" s="13"/>
      <c r="TC24" s="13"/>
      <c r="TD24" s="13"/>
      <c r="TE24" s="13"/>
      <c r="TF24" s="13"/>
      <c r="TG24" s="13"/>
      <c r="TH24" s="13"/>
      <c r="TI24" s="13"/>
      <c r="TJ24" s="13"/>
      <c r="TK24" s="13"/>
      <c r="TL24" s="13"/>
      <c r="TM24" s="13"/>
      <c r="TN24" s="13"/>
      <c r="TO24" s="13"/>
      <c r="TP24" s="13"/>
      <c r="TQ24" s="13"/>
      <c r="TR24" s="13"/>
      <c r="TS24" s="13"/>
      <c r="TT24" s="13"/>
      <c r="TU24" s="13"/>
      <c r="TV24" s="13"/>
      <c r="TW24" s="13"/>
      <c r="TX24" s="13"/>
      <c r="TY24" s="13"/>
      <c r="TZ24" s="13"/>
      <c r="UA24" s="13"/>
      <c r="UB24" s="13"/>
      <c r="UC24" s="13"/>
      <c r="UD24" s="13"/>
      <c r="UE24" s="13"/>
      <c r="UF24" s="13"/>
      <c r="UG24" s="13"/>
      <c r="UH24" s="13"/>
      <c r="UI24" s="13"/>
      <c r="UJ24" s="13"/>
      <c r="UK24" s="13"/>
      <c r="UL24" s="13"/>
      <c r="UM24" s="13"/>
      <c r="UN24" s="13"/>
      <c r="UO24" s="13"/>
      <c r="UP24" s="13"/>
      <c r="UQ24" s="13"/>
      <c r="UR24" s="13"/>
      <c r="US24" s="13"/>
      <c r="UT24" s="13"/>
      <c r="UU24" s="13"/>
      <c r="UV24" s="13"/>
      <c r="UW24" s="13"/>
      <c r="UX24" s="13"/>
      <c r="UY24" s="13"/>
      <c r="UZ24" s="13"/>
      <c r="VA24" s="13"/>
      <c r="VB24" s="13"/>
      <c r="VC24" s="13"/>
      <c r="VD24" s="13"/>
      <c r="VE24" s="13"/>
      <c r="VF24" s="13"/>
      <c r="VG24" s="13"/>
      <c r="VH24" s="13"/>
      <c r="VI24" s="13"/>
      <c r="VJ24" s="13"/>
      <c r="VK24" s="13"/>
      <c r="VL24" s="13"/>
      <c r="VM24" s="13"/>
      <c r="VN24" s="13"/>
      <c r="VO24" s="13"/>
      <c r="VP24" s="13"/>
      <c r="VQ24" s="13"/>
      <c r="VR24" s="13"/>
      <c r="VS24" s="13"/>
      <c r="VT24" s="13"/>
      <c r="VU24" s="13"/>
      <c r="VV24" s="13"/>
      <c r="VW24" s="13"/>
      <c r="VX24" s="13"/>
      <c r="VY24" s="13"/>
      <c r="VZ24" s="13"/>
      <c r="WA24" s="13"/>
      <c r="WB24" s="13"/>
      <c r="WC24" s="13"/>
      <c r="WD24" s="13"/>
      <c r="WE24" s="13"/>
      <c r="WF24" s="13"/>
      <c r="WG24" s="13"/>
      <c r="WH24" s="13"/>
      <c r="WI24" s="13"/>
      <c r="WJ24" s="13"/>
      <c r="WK24" s="13"/>
      <c r="WL24" s="13"/>
      <c r="WM24" s="13"/>
      <c r="WN24" s="13"/>
      <c r="WO24" s="13"/>
      <c r="WP24" s="13"/>
      <c r="WQ24" s="13"/>
      <c r="WR24" s="13"/>
      <c r="WS24" s="13"/>
      <c r="WT24" s="13"/>
      <c r="WU24" s="13"/>
      <c r="WV24" s="13"/>
      <c r="WW24" s="13"/>
      <c r="WX24" s="13"/>
      <c r="WY24" s="13"/>
      <c r="WZ24" s="13"/>
      <c r="XA24" s="13"/>
      <c r="XB24" s="13"/>
      <c r="XC24" s="13"/>
      <c r="XD24" s="13"/>
      <c r="XE24" s="13"/>
      <c r="XF24" s="13"/>
      <c r="XG24" s="13"/>
      <c r="XH24" s="13"/>
      <c r="XI24" s="13"/>
      <c r="XJ24" s="13"/>
      <c r="XK24" s="13"/>
      <c r="XL24" s="13"/>
      <c r="XM24" s="13"/>
      <c r="XN24" s="13"/>
      <c r="XO24" s="13"/>
      <c r="XP24" s="13"/>
      <c r="XQ24" s="13"/>
      <c r="XR24" s="13"/>
      <c r="XS24" s="13"/>
      <c r="XT24" s="13"/>
      <c r="XU24" s="13"/>
      <c r="XV24" s="13"/>
      <c r="XW24" s="13"/>
      <c r="XX24" s="13"/>
      <c r="XY24" s="13"/>
      <c r="XZ24" s="13"/>
      <c r="YA24" s="13"/>
      <c r="YB24" s="13"/>
      <c r="YC24" s="13"/>
      <c r="YD24" s="13"/>
      <c r="YE24" s="13"/>
      <c r="YF24" s="13"/>
      <c r="YG24" s="13"/>
      <c r="YH24" s="13"/>
      <c r="YI24" s="13"/>
      <c r="YJ24" s="13"/>
      <c r="YK24" s="13"/>
      <c r="YL24" s="13"/>
      <c r="YM24" s="13"/>
      <c r="YN24" s="13"/>
      <c r="YO24" s="13"/>
      <c r="YP24" s="13"/>
      <c r="YQ24" s="13"/>
      <c r="YR24" s="13"/>
      <c r="YS24" s="13"/>
      <c r="YT24" s="13"/>
      <c r="YU24" s="13"/>
      <c r="YV24" s="13"/>
      <c r="YW24" s="13"/>
      <c r="YX24" s="13"/>
      <c r="YY24" s="13"/>
      <c r="YZ24" s="13"/>
      <c r="ZA24" s="13"/>
      <c r="ZB24" s="13"/>
      <c r="ZC24" s="13"/>
      <c r="ZD24" s="13"/>
      <c r="ZE24" s="13"/>
      <c r="ZF24" s="13"/>
      <c r="ZG24" s="13"/>
      <c r="ZH24" s="13"/>
      <c r="ZI24" s="13"/>
      <c r="ZJ24" s="13"/>
      <c r="ZK24" s="13"/>
      <c r="ZL24" s="13"/>
      <c r="ZM24" s="13"/>
      <c r="ZN24" s="13"/>
      <c r="ZO24" s="13"/>
      <c r="ZP24" s="13"/>
      <c r="ZQ24" s="13"/>
      <c r="ZR24" s="13"/>
      <c r="ZS24" s="13"/>
      <c r="ZT24" s="13"/>
      <c r="ZU24" s="13"/>
      <c r="ZV24" s="13"/>
      <c r="ZW24" s="13"/>
      <c r="ZX24" s="13"/>
      <c r="ZY24" s="13"/>
      <c r="ZZ24" s="13"/>
      <c r="AAA24" s="13"/>
      <c r="AAB24" s="13"/>
      <c r="AAC24" s="13"/>
      <c r="AAD24" s="13"/>
      <c r="AAE24" s="13"/>
      <c r="AAF24" s="13"/>
      <c r="AAG24" s="13"/>
      <c r="AAH24" s="13"/>
      <c r="AAI24" s="13"/>
      <c r="AAJ24" s="13"/>
      <c r="AAK24" s="13"/>
      <c r="AAL24" s="13"/>
      <c r="AAM24" s="13"/>
      <c r="AAN24" s="13"/>
      <c r="AAO24" s="13"/>
      <c r="AAP24" s="13"/>
      <c r="AAQ24" s="13"/>
      <c r="AAR24" s="13"/>
      <c r="AAS24" s="13"/>
      <c r="AAT24" s="13"/>
      <c r="AAU24" s="13"/>
      <c r="AAV24" s="13"/>
      <c r="AAW24" s="13"/>
      <c r="AAX24" s="13"/>
      <c r="AAY24" s="13"/>
      <c r="AAZ24" s="13"/>
      <c r="ABA24" s="13"/>
      <c r="ABB24" s="13"/>
      <c r="ABC24" s="13"/>
      <c r="ABD24" s="13"/>
      <c r="ABE24" s="13"/>
      <c r="ABF24" s="13"/>
      <c r="ABG24" s="13"/>
      <c r="ABH24" s="13"/>
      <c r="ABI24" s="13"/>
      <c r="ABJ24" s="13"/>
      <c r="ABK24" s="13"/>
      <c r="ABL24" s="13"/>
      <c r="ABM24" s="13"/>
      <c r="ABN24" s="13"/>
      <c r="ABO24" s="13"/>
      <c r="ABP24" s="13"/>
      <c r="ABQ24" s="13"/>
      <c r="ABR24" s="13"/>
      <c r="ABS24" s="13"/>
      <c r="ABT24" s="13"/>
      <c r="ABU24" s="13"/>
      <c r="ABV24" s="13"/>
      <c r="ABW24" s="13"/>
      <c r="ABX24" s="13"/>
      <c r="ABY24" s="13"/>
      <c r="ABZ24" s="13"/>
      <c r="ACA24" s="13"/>
      <c r="ACB24" s="13"/>
      <c r="ACC24" s="13"/>
      <c r="ACD24" s="13"/>
      <c r="ACE24" s="13"/>
      <c r="ACF24" s="13"/>
      <c r="ACG24" s="13"/>
      <c r="ACH24" s="13"/>
      <c r="ACI24" s="13"/>
      <c r="ACJ24" s="13"/>
      <c r="ACK24" s="13"/>
      <c r="ACL24" s="13"/>
      <c r="ACM24" s="13"/>
      <c r="ACN24" s="13"/>
      <c r="ACO24" s="13"/>
      <c r="ACP24" s="13"/>
      <c r="ACQ24" s="13"/>
      <c r="ACR24" s="13"/>
      <c r="ACS24" s="13"/>
      <c r="ACT24" s="13"/>
      <c r="ACU24" s="13"/>
      <c r="ACV24" s="13"/>
      <c r="ACW24" s="13"/>
      <c r="ACX24" s="13"/>
      <c r="ACY24" s="13"/>
      <c r="ACZ24" s="13"/>
      <c r="ADA24" s="13"/>
      <c r="ADB24" s="13"/>
      <c r="ADC24" s="13"/>
      <c r="ADD24" s="13"/>
      <c r="ADE24" s="13"/>
      <c r="ADF24" s="13"/>
      <c r="ADG24" s="13"/>
      <c r="ADH24" s="13"/>
      <c r="ADI24" s="13"/>
      <c r="ADJ24" s="13"/>
      <c r="ADK24" s="13"/>
      <c r="ADL24" s="13"/>
      <c r="ADM24" s="13"/>
      <c r="ADN24" s="13"/>
      <c r="ADO24" s="13"/>
      <c r="ADP24" s="13"/>
      <c r="ADQ24" s="13"/>
      <c r="ADR24" s="13"/>
      <c r="ADS24" s="13"/>
      <c r="ADT24" s="13"/>
      <c r="ADU24" s="13"/>
      <c r="ADV24" s="13"/>
      <c r="ADW24" s="13"/>
      <c r="ADX24" s="13"/>
      <c r="ADY24" s="13"/>
      <c r="ADZ24" s="13"/>
      <c r="AEA24" s="13"/>
      <c r="AEB24" s="13"/>
      <c r="AEC24" s="13"/>
      <c r="AED24" s="13"/>
      <c r="AEE24" s="13"/>
      <c r="AEF24" s="13"/>
      <c r="AEG24" s="13"/>
      <c r="AEH24" s="13"/>
      <c r="AEI24" s="13"/>
      <c r="AEJ24" s="13"/>
      <c r="AEK24" s="13"/>
      <c r="AEL24" s="13"/>
      <c r="AEM24" s="13"/>
      <c r="AEN24" s="13"/>
      <c r="AEO24" s="13"/>
      <c r="AEP24" s="13"/>
      <c r="AEQ24" s="13"/>
      <c r="AER24" s="13"/>
      <c r="AES24" s="13"/>
      <c r="AET24" s="13"/>
      <c r="AEU24" s="13"/>
      <c r="AEV24" s="13"/>
      <c r="AEW24" s="13"/>
      <c r="AEX24" s="13"/>
      <c r="AEY24" s="13"/>
      <c r="AEZ24" s="13"/>
      <c r="AFA24" s="13"/>
      <c r="AFB24" s="13"/>
      <c r="AFC24" s="13"/>
      <c r="AFD24" s="13"/>
      <c r="AFE24" s="13"/>
      <c r="AFF24" s="13"/>
      <c r="AFG24" s="13"/>
      <c r="AFH24" s="13"/>
      <c r="AFI24" s="13"/>
      <c r="AFJ24" s="13"/>
      <c r="AFK24" s="13"/>
      <c r="AFL24" s="13"/>
      <c r="AFM24" s="13"/>
      <c r="AFN24" s="13"/>
      <c r="AFO24" s="13"/>
      <c r="AFP24" s="13"/>
      <c r="AFQ24" s="13"/>
      <c r="AFR24" s="13"/>
      <c r="AFS24" s="13"/>
      <c r="AFT24" s="13"/>
      <c r="AFU24" s="13"/>
      <c r="AFV24" s="13"/>
      <c r="AFW24" s="13"/>
      <c r="AFX24" s="13"/>
      <c r="AFY24" s="13"/>
      <c r="AFZ24" s="13"/>
      <c r="AGA24" s="13"/>
      <c r="AGB24" s="13"/>
      <c r="AGC24" s="13"/>
      <c r="AGD24" s="13"/>
      <c r="AGE24" s="13"/>
      <c r="AGF24" s="13"/>
      <c r="AGG24" s="13"/>
      <c r="AGH24" s="13"/>
      <c r="AGI24" s="13"/>
      <c r="AGJ24" s="13"/>
      <c r="AGK24" s="13"/>
      <c r="AGL24" s="13"/>
      <c r="AGM24" s="13"/>
      <c r="AGN24" s="13"/>
      <c r="AGO24" s="13"/>
      <c r="AGP24" s="13"/>
      <c r="AGQ24" s="13"/>
      <c r="AGR24" s="13"/>
      <c r="AGS24" s="13"/>
      <c r="AGT24" s="13"/>
      <c r="AGU24" s="13"/>
      <c r="AGV24" s="13"/>
      <c r="AGW24" s="13"/>
      <c r="AGX24" s="13"/>
      <c r="AGY24" s="13"/>
      <c r="AGZ24" s="13"/>
      <c r="AHA24" s="13"/>
      <c r="AHB24" s="13"/>
      <c r="AHC24" s="13"/>
      <c r="AHD24" s="13"/>
      <c r="AHE24" s="13"/>
      <c r="AHF24" s="13"/>
      <c r="AHG24" s="13"/>
      <c r="AHH24" s="13"/>
      <c r="AHI24" s="13"/>
      <c r="AHJ24" s="13"/>
      <c r="AHK24" s="13"/>
      <c r="AHL24" s="13"/>
      <c r="AHM24" s="13"/>
      <c r="AHN24" s="13"/>
      <c r="AHO24" s="13"/>
      <c r="AHP24" s="13"/>
      <c r="AHQ24" s="13"/>
      <c r="AHR24" s="13"/>
      <c r="AHS24" s="13"/>
      <c r="AHT24" s="13"/>
      <c r="AHU24" s="13"/>
      <c r="AHV24" s="13"/>
      <c r="AHW24" s="13"/>
      <c r="AHX24" s="13"/>
      <c r="AHY24" s="13"/>
      <c r="AHZ24" s="13"/>
      <c r="AIA24" s="13"/>
      <c r="AIB24" s="13"/>
      <c r="AIC24" s="13"/>
      <c r="AID24" s="13"/>
      <c r="AIE24" s="13"/>
      <c r="AIF24" s="13"/>
      <c r="AIG24" s="13"/>
      <c r="AIH24" s="13"/>
      <c r="AII24" s="13"/>
      <c r="AIJ24" s="13"/>
      <c r="AIK24" s="13"/>
      <c r="AIL24" s="13"/>
      <c r="AIM24" s="13"/>
      <c r="AIN24" s="13"/>
      <c r="AIO24" s="13"/>
      <c r="AIP24" s="13"/>
      <c r="AIQ24" s="13"/>
      <c r="AIR24" s="13"/>
      <c r="AIS24" s="13"/>
      <c r="AIT24" s="13"/>
      <c r="AIU24" s="13"/>
      <c r="AIV24" s="13"/>
      <c r="AIW24" s="13"/>
      <c r="AIX24" s="13"/>
      <c r="AIY24" s="13"/>
      <c r="AIZ24" s="13"/>
      <c r="AJA24" s="13"/>
      <c r="AJB24" s="13"/>
      <c r="AJC24" s="13"/>
      <c r="AJD24" s="13"/>
      <c r="AJE24" s="13"/>
      <c r="AJF24" s="13"/>
      <c r="AJG24" s="13"/>
      <c r="AJH24" s="13"/>
      <c r="AJI24" s="13"/>
      <c r="AJJ24" s="13"/>
      <c r="AJK24" s="13"/>
      <c r="AJL24" s="13"/>
      <c r="AJM24" s="13"/>
      <c r="AJN24" s="13"/>
      <c r="AJO24" s="13"/>
      <c r="AJP24" s="13"/>
      <c r="AJQ24" s="13"/>
      <c r="AJR24" s="13"/>
      <c r="AJS24" s="13"/>
      <c r="AJT24" s="13"/>
      <c r="AJU24" s="13"/>
      <c r="AJV24" s="13"/>
      <c r="AJW24" s="13"/>
      <c r="AJX24" s="13"/>
      <c r="AJY24" s="13"/>
      <c r="AJZ24" s="13"/>
      <c r="AKA24" s="13"/>
      <c r="AKB24" s="13"/>
      <c r="AKC24" s="13"/>
      <c r="AKD24" s="13"/>
      <c r="AKE24" s="13"/>
      <c r="AKF24" s="13"/>
      <c r="AKG24" s="13"/>
      <c r="AKH24" s="13"/>
      <c r="AKI24" s="13"/>
      <c r="AKJ24" s="13"/>
      <c r="AKK24" s="13"/>
      <c r="AKL24" s="13"/>
      <c r="AKM24" s="13"/>
      <c r="AKN24" s="13"/>
      <c r="AKO24" s="13"/>
      <c r="AKP24" s="13"/>
      <c r="AKQ24" s="13"/>
      <c r="AKR24" s="13"/>
      <c r="AKS24" s="13"/>
      <c r="AKT24" s="13"/>
      <c r="AKU24" s="13"/>
      <c r="AKV24" s="13"/>
      <c r="AKW24" s="13"/>
      <c r="AKX24" s="13"/>
      <c r="AKY24" s="13"/>
      <c r="AKZ24" s="13"/>
      <c r="ALA24" s="13"/>
      <c r="ALB24" s="13"/>
      <c r="ALC24" s="13"/>
      <c r="ALD24" s="13"/>
      <c r="ALE24" s="13"/>
      <c r="ALF24" s="13"/>
      <c r="ALG24" s="13"/>
      <c r="ALH24" s="13"/>
      <c r="ALI24" s="13"/>
      <c r="ALJ24" s="13"/>
      <c r="ALK24" s="13"/>
      <c r="ALL24" s="13"/>
      <c r="ALM24" s="13"/>
      <c r="ALN24" s="13"/>
      <c r="ALO24" s="13"/>
    </row>
    <row r="25" spans="1:1012" x14ac:dyDescent="0.35">
      <c r="A25" s="1" t="s">
        <v>8</v>
      </c>
      <c r="B25" s="1"/>
      <c r="E25" s="73"/>
      <c r="F25" s="144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13"/>
      <c r="HQ25" s="13"/>
      <c r="HR25" s="13"/>
      <c r="HS25" s="13"/>
      <c r="HT25" s="13"/>
      <c r="HU25" s="13"/>
      <c r="HV25" s="13"/>
      <c r="HW25" s="13"/>
      <c r="HX25" s="13"/>
      <c r="HY25" s="13"/>
      <c r="HZ25" s="13"/>
      <c r="IA25" s="13"/>
      <c r="IB25" s="13"/>
      <c r="IC25" s="13"/>
      <c r="ID25" s="13"/>
      <c r="IE25" s="13"/>
      <c r="IF25" s="13"/>
      <c r="IG25" s="13"/>
      <c r="IH25" s="13"/>
      <c r="II25" s="13"/>
      <c r="IJ25" s="13"/>
      <c r="IK25" s="13"/>
      <c r="IL25" s="13"/>
      <c r="IM25" s="13"/>
      <c r="IN25" s="13"/>
      <c r="IO25" s="13"/>
      <c r="IP25" s="13"/>
      <c r="IQ25" s="13"/>
      <c r="IR25" s="13"/>
      <c r="IS25" s="13"/>
      <c r="IT25" s="13"/>
      <c r="IU25" s="13"/>
      <c r="IV25" s="13"/>
      <c r="IW25" s="13"/>
      <c r="IX25" s="13"/>
      <c r="IY25" s="13"/>
      <c r="IZ25" s="13"/>
      <c r="JA25" s="13"/>
      <c r="JB25" s="13"/>
      <c r="JC25" s="13"/>
      <c r="JD25" s="13"/>
      <c r="JE25" s="13"/>
      <c r="JF25" s="13"/>
      <c r="JG25" s="13"/>
      <c r="JH25" s="13"/>
      <c r="JI25" s="13"/>
      <c r="JJ25" s="13"/>
      <c r="JK25" s="13"/>
      <c r="JL25" s="13"/>
      <c r="JM25" s="13"/>
      <c r="JN25" s="13"/>
      <c r="JO25" s="13"/>
      <c r="JP25" s="13"/>
      <c r="JQ25" s="13"/>
      <c r="JR25" s="13"/>
      <c r="JS25" s="13"/>
      <c r="JT25" s="13"/>
      <c r="JU25" s="13"/>
      <c r="JV25" s="13"/>
      <c r="JW25" s="13"/>
      <c r="JX25" s="13"/>
      <c r="JY25" s="13"/>
      <c r="JZ25" s="13"/>
      <c r="KA25" s="13"/>
      <c r="KB25" s="13"/>
      <c r="KC25" s="13"/>
      <c r="KD25" s="13"/>
      <c r="KE25" s="13"/>
      <c r="KF25" s="13"/>
      <c r="KG25" s="13"/>
      <c r="KH25" s="13"/>
      <c r="KI25" s="13"/>
      <c r="KJ25" s="13"/>
      <c r="KK25" s="13"/>
      <c r="KL25" s="13"/>
      <c r="KM25" s="13"/>
      <c r="KN25" s="13"/>
      <c r="KO25" s="13"/>
      <c r="KP25" s="13"/>
      <c r="KQ25" s="13"/>
      <c r="KR25" s="13"/>
      <c r="KS25" s="13"/>
      <c r="KT25" s="13"/>
      <c r="KU25" s="13"/>
      <c r="KV25" s="13"/>
      <c r="KW25" s="13"/>
      <c r="KX25" s="13"/>
      <c r="KY25" s="13"/>
      <c r="KZ25" s="13"/>
      <c r="LA25" s="13"/>
      <c r="LB25" s="13"/>
      <c r="LC25" s="13"/>
      <c r="LD25" s="13"/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3"/>
      <c r="MC25" s="13"/>
      <c r="MD25" s="13"/>
      <c r="ME25" s="13"/>
      <c r="MF25" s="13"/>
      <c r="MG25" s="13"/>
      <c r="MH25" s="13"/>
      <c r="MI25" s="13"/>
      <c r="MJ25" s="13"/>
      <c r="MK25" s="13"/>
      <c r="ML25" s="13"/>
      <c r="MM25" s="13"/>
      <c r="MN25" s="13"/>
      <c r="MO25" s="13"/>
      <c r="MP25" s="13"/>
      <c r="MQ25" s="13"/>
      <c r="MR25" s="13"/>
      <c r="MS25" s="13"/>
      <c r="MT25" s="13"/>
      <c r="MU25" s="13"/>
      <c r="MV25" s="13"/>
      <c r="MW25" s="13"/>
      <c r="MX25" s="13"/>
      <c r="MY25" s="13"/>
      <c r="MZ25" s="13"/>
      <c r="NA25" s="13"/>
      <c r="NB25" s="13"/>
      <c r="NC25" s="13"/>
      <c r="ND25" s="13"/>
      <c r="NE25" s="13"/>
      <c r="NF25" s="13"/>
      <c r="NG25" s="13"/>
      <c r="NH25" s="13"/>
      <c r="NI25" s="13"/>
      <c r="NJ25" s="13"/>
      <c r="NK25" s="13"/>
      <c r="NL25" s="13"/>
      <c r="NM25" s="13"/>
      <c r="NN25" s="13"/>
      <c r="NO25" s="13"/>
      <c r="NP25" s="13"/>
      <c r="NQ25" s="13"/>
      <c r="NR25" s="13"/>
      <c r="NS25" s="13"/>
      <c r="NT25" s="13"/>
      <c r="NU25" s="13"/>
      <c r="NV25" s="13"/>
      <c r="NW25" s="13"/>
      <c r="NX25" s="13"/>
      <c r="NY25" s="13"/>
      <c r="NZ25" s="13"/>
      <c r="OA25" s="13"/>
      <c r="OB25" s="13"/>
      <c r="OC25" s="13"/>
      <c r="OD25" s="13"/>
      <c r="OE25" s="13"/>
      <c r="OF25" s="13"/>
      <c r="OG25" s="13"/>
      <c r="OH25" s="13"/>
      <c r="OI25" s="13"/>
      <c r="OJ25" s="13"/>
      <c r="OK25" s="13"/>
      <c r="OL25" s="13"/>
      <c r="OM25" s="13"/>
      <c r="ON25" s="13"/>
      <c r="OO25" s="13"/>
      <c r="OP25" s="13"/>
      <c r="OQ25" s="13"/>
      <c r="OR25" s="13"/>
      <c r="OS25" s="13"/>
      <c r="OT25" s="13"/>
      <c r="OU25" s="13"/>
      <c r="OV25" s="13"/>
      <c r="OW25" s="13"/>
      <c r="OX25" s="13"/>
      <c r="OY25" s="13"/>
      <c r="OZ25" s="13"/>
      <c r="PA25" s="13"/>
      <c r="PB25" s="13"/>
      <c r="PC25" s="13"/>
      <c r="PD25" s="13"/>
      <c r="PE25" s="13"/>
      <c r="PF25" s="13"/>
      <c r="PG25" s="13"/>
      <c r="PH25" s="13"/>
      <c r="PI25" s="13"/>
      <c r="PJ25" s="13"/>
      <c r="PK25" s="13"/>
      <c r="PL25" s="13"/>
      <c r="PM25" s="13"/>
      <c r="PN25" s="13"/>
      <c r="PO25" s="13"/>
      <c r="PP25" s="13"/>
      <c r="PQ25" s="13"/>
      <c r="PR25" s="13"/>
      <c r="PS25" s="13"/>
      <c r="PT25" s="13"/>
      <c r="PU25" s="13"/>
      <c r="PV25" s="13"/>
      <c r="PW25" s="13"/>
      <c r="PX25" s="13"/>
      <c r="PY25" s="13"/>
      <c r="PZ25" s="13"/>
      <c r="QA25" s="13"/>
      <c r="QB25" s="13"/>
      <c r="QC25" s="13"/>
      <c r="QD25" s="13"/>
      <c r="QE25" s="13"/>
      <c r="QF25" s="13"/>
      <c r="QG25" s="13"/>
      <c r="QH25" s="13"/>
      <c r="QI25" s="13"/>
      <c r="QJ25" s="13"/>
      <c r="QK25" s="13"/>
      <c r="QL25" s="13"/>
      <c r="QM25" s="13"/>
      <c r="QN25" s="13"/>
      <c r="QO25" s="13"/>
      <c r="QP25" s="13"/>
      <c r="QQ25" s="13"/>
      <c r="QR25" s="13"/>
      <c r="QS25" s="13"/>
      <c r="QT25" s="13"/>
      <c r="QU25" s="13"/>
      <c r="QV25" s="13"/>
      <c r="QW25" s="13"/>
      <c r="QX25" s="13"/>
      <c r="QY25" s="13"/>
      <c r="QZ25" s="13"/>
      <c r="RA25" s="13"/>
      <c r="RB25" s="13"/>
      <c r="RC25" s="13"/>
      <c r="RD25" s="13"/>
      <c r="RE25" s="13"/>
      <c r="RF25" s="13"/>
      <c r="RG25" s="13"/>
      <c r="RH25" s="13"/>
      <c r="RI25" s="13"/>
      <c r="RJ25" s="13"/>
      <c r="RK25" s="13"/>
      <c r="RL25" s="13"/>
      <c r="RM25" s="13"/>
      <c r="RN25" s="13"/>
      <c r="RO25" s="13"/>
      <c r="RP25" s="13"/>
      <c r="RQ25" s="13"/>
      <c r="RR25" s="13"/>
      <c r="RS25" s="13"/>
      <c r="RT25" s="13"/>
      <c r="RU25" s="13"/>
      <c r="RV25" s="13"/>
      <c r="RW25" s="13"/>
      <c r="RX25" s="13"/>
      <c r="RY25" s="13"/>
      <c r="RZ25" s="13"/>
      <c r="SA25" s="13"/>
      <c r="SB25" s="13"/>
      <c r="SC25" s="13"/>
      <c r="SD25" s="13"/>
      <c r="SE25" s="13"/>
      <c r="SF25" s="13"/>
      <c r="SG25" s="13"/>
      <c r="SH25" s="13"/>
      <c r="SI25" s="13"/>
      <c r="SJ25" s="13"/>
      <c r="SK25" s="13"/>
      <c r="SL25" s="13"/>
      <c r="SM25" s="13"/>
      <c r="SN25" s="13"/>
      <c r="SO25" s="13"/>
      <c r="SP25" s="13"/>
      <c r="SQ25" s="13"/>
      <c r="SR25" s="13"/>
      <c r="SS25" s="13"/>
      <c r="ST25" s="13"/>
      <c r="SU25" s="13"/>
      <c r="SV25" s="13"/>
      <c r="SW25" s="13"/>
      <c r="SX25" s="13"/>
      <c r="SY25" s="13"/>
      <c r="SZ25" s="13"/>
      <c r="TA25" s="13"/>
      <c r="TB25" s="13"/>
      <c r="TC25" s="13"/>
      <c r="TD25" s="13"/>
      <c r="TE25" s="13"/>
      <c r="TF25" s="13"/>
      <c r="TG25" s="13"/>
      <c r="TH25" s="13"/>
      <c r="TI25" s="13"/>
      <c r="TJ25" s="13"/>
      <c r="TK25" s="13"/>
      <c r="TL25" s="13"/>
      <c r="TM25" s="13"/>
      <c r="TN25" s="13"/>
      <c r="TO25" s="13"/>
      <c r="TP25" s="13"/>
      <c r="TQ25" s="13"/>
      <c r="TR25" s="13"/>
      <c r="TS25" s="13"/>
      <c r="TT25" s="13"/>
      <c r="TU25" s="13"/>
      <c r="TV25" s="13"/>
      <c r="TW25" s="13"/>
      <c r="TX25" s="13"/>
      <c r="TY25" s="13"/>
      <c r="TZ25" s="13"/>
      <c r="UA25" s="13"/>
      <c r="UB25" s="13"/>
      <c r="UC25" s="13"/>
      <c r="UD25" s="13"/>
      <c r="UE25" s="13"/>
      <c r="UF25" s="13"/>
      <c r="UG25" s="13"/>
      <c r="UH25" s="13"/>
      <c r="UI25" s="13"/>
      <c r="UJ25" s="13"/>
      <c r="UK25" s="13"/>
      <c r="UL25" s="13"/>
      <c r="UM25" s="13"/>
      <c r="UN25" s="13"/>
      <c r="UO25" s="13"/>
      <c r="UP25" s="13"/>
      <c r="UQ25" s="13"/>
      <c r="UR25" s="13"/>
      <c r="US25" s="13"/>
      <c r="UT25" s="13"/>
      <c r="UU25" s="13"/>
      <c r="UV25" s="13"/>
      <c r="UW25" s="13"/>
      <c r="UX25" s="13"/>
      <c r="UY25" s="13"/>
      <c r="UZ25" s="13"/>
      <c r="VA25" s="13"/>
      <c r="VB25" s="13"/>
      <c r="VC25" s="13"/>
      <c r="VD25" s="13"/>
      <c r="VE25" s="13"/>
      <c r="VF25" s="13"/>
      <c r="VG25" s="13"/>
      <c r="VH25" s="13"/>
      <c r="VI25" s="13"/>
      <c r="VJ25" s="13"/>
      <c r="VK25" s="13"/>
      <c r="VL25" s="13"/>
      <c r="VM25" s="13"/>
      <c r="VN25" s="13"/>
      <c r="VO25" s="13"/>
      <c r="VP25" s="13"/>
      <c r="VQ25" s="13"/>
      <c r="VR25" s="13"/>
      <c r="VS25" s="13"/>
      <c r="VT25" s="13"/>
      <c r="VU25" s="13"/>
      <c r="VV25" s="13"/>
      <c r="VW25" s="13"/>
      <c r="VX25" s="13"/>
      <c r="VY25" s="13"/>
      <c r="VZ25" s="13"/>
      <c r="WA25" s="13"/>
      <c r="WB25" s="13"/>
      <c r="WC25" s="13"/>
      <c r="WD25" s="13"/>
      <c r="WE25" s="13"/>
      <c r="WF25" s="13"/>
      <c r="WG25" s="13"/>
      <c r="WH25" s="13"/>
      <c r="WI25" s="13"/>
      <c r="WJ25" s="13"/>
      <c r="WK25" s="13"/>
      <c r="WL25" s="13"/>
      <c r="WM25" s="13"/>
      <c r="WN25" s="13"/>
      <c r="WO25" s="13"/>
      <c r="WP25" s="13"/>
      <c r="WQ25" s="13"/>
      <c r="WR25" s="13"/>
      <c r="WS25" s="13"/>
      <c r="WT25" s="13"/>
      <c r="WU25" s="13"/>
      <c r="WV25" s="13"/>
      <c r="WW25" s="13"/>
      <c r="WX25" s="13"/>
      <c r="WY25" s="13"/>
      <c r="WZ25" s="13"/>
      <c r="XA25" s="13"/>
      <c r="XB25" s="13"/>
      <c r="XC25" s="13"/>
      <c r="XD25" s="13"/>
      <c r="XE25" s="13"/>
      <c r="XF25" s="13"/>
      <c r="XG25" s="13"/>
      <c r="XH25" s="13"/>
      <c r="XI25" s="13"/>
      <c r="XJ25" s="13"/>
      <c r="XK25" s="13"/>
      <c r="XL25" s="13"/>
      <c r="XM25" s="13"/>
      <c r="XN25" s="13"/>
      <c r="XO25" s="13"/>
      <c r="XP25" s="13"/>
      <c r="XQ25" s="13"/>
      <c r="XR25" s="13"/>
      <c r="XS25" s="13"/>
      <c r="XT25" s="13"/>
      <c r="XU25" s="13"/>
      <c r="XV25" s="13"/>
      <c r="XW25" s="13"/>
      <c r="XX25" s="13"/>
      <c r="XY25" s="13"/>
      <c r="XZ25" s="13"/>
      <c r="YA25" s="13"/>
      <c r="YB25" s="13"/>
      <c r="YC25" s="13"/>
      <c r="YD25" s="13"/>
      <c r="YE25" s="13"/>
      <c r="YF25" s="13"/>
      <c r="YG25" s="13"/>
      <c r="YH25" s="13"/>
      <c r="YI25" s="13"/>
      <c r="YJ25" s="13"/>
      <c r="YK25" s="13"/>
      <c r="YL25" s="13"/>
      <c r="YM25" s="13"/>
      <c r="YN25" s="13"/>
      <c r="YO25" s="13"/>
      <c r="YP25" s="13"/>
      <c r="YQ25" s="13"/>
      <c r="YR25" s="13"/>
      <c r="YS25" s="13"/>
      <c r="YT25" s="13"/>
      <c r="YU25" s="13"/>
      <c r="YV25" s="13"/>
      <c r="YW25" s="13"/>
      <c r="YX25" s="13"/>
      <c r="YY25" s="13"/>
      <c r="YZ25" s="13"/>
      <c r="ZA25" s="13"/>
      <c r="ZB25" s="13"/>
      <c r="ZC25" s="13"/>
      <c r="ZD25" s="13"/>
      <c r="ZE25" s="13"/>
      <c r="ZF25" s="13"/>
      <c r="ZG25" s="13"/>
      <c r="ZH25" s="13"/>
      <c r="ZI25" s="13"/>
      <c r="ZJ25" s="13"/>
      <c r="ZK25" s="13"/>
      <c r="ZL25" s="13"/>
      <c r="ZM25" s="13"/>
      <c r="ZN25" s="13"/>
      <c r="ZO25" s="13"/>
      <c r="ZP25" s="13"/>
      <c r="ZQ25" s="13"/>
      <c r="ZR25" s="13"/>
      <c r="ZS25" s="13"/>
      <c r="ZT25" s="13"/>
      <c r="ZU25" s="13"/>
      <c r="ZV25" s="13"/>
      <c r="ZW25" s="13"/>
      <c r="ZX25" s="13"/>
      <c r="ZY25" s="13"/>
      <c r="ZZ25" s="13"/>
      <c r="AAA25" s="13"/>
      <c r="AAB25" s="13"/>
      <c r="AAC25" s="13"/>
      <c r="AAD25" s="13"/>
      <c r="AAE25" s="13"/>
      <c r="AAF25" s="13"/>
      <c r="AAG25" s="13"/>
      <c r="AAH25" s="13"/>
      <c r="AAI25" s="13"/>
      <c r="AAJ25" s="13"/>
      <c r="AAK25" s="13"/>
      <c r="AAL25" s="13"/>
      <c r="AAM25" s="13"/>
      <c r="AAN25" s="13"/>
      <c r="AAO25" s="13"/>
      <c r="AAP25" s="13"/>
      <c r="AAQ25" s="13"/>
      <c r="AAR25" s="13"/>
      <c r="AAS25" s="13"/>
      <c r="AAT25" s="13"/>
      <c r="AAU25" s="13"/>
      <c r="AAV25" s="13"/>
      <c r="AAW25" s="13"/>
      <c r="AAX25" s="13"/>
      <c r="AAY25" s="13"/>
      <c r="AAZ25" s="13"/>
      <c r="ABA25" s="13"/>
      <c r="ABB25" s="13"/>
      <c r="ABC25" s="13"/>
      <c r="ABD25" s="13"/>
      <c r="ABE25" s="13"/>
      <c r="ABF25" s="13"/>
      <c r="ABG25" s="13"/>
      <c r="ABH25" s="13"/>
      <c r="ABI25" s="13"/>
      <c r="ABJ25" s="13"/>
      <c r="ABK25" s="13"/>
      <c r="ABL25" s="13"/>
      <c r="ABM25" s="13"/>
      <c r="ABN25" s="13"/>
      <c r="ABO25" s="13"/>
      <c r="ABP25" s="13"/>
      <c r="ABQ25" s="13"/>
      <c r="ABR25" s="13"/>
      <c r="ABS25" s="13"/>
      <c r="ABT25" s="13"/>
      <c r="ABU25" s="13"/>
      <c r="ABV25" s="13"/>
      <c r="ABW25" s="13"/>
      <c r="ABX25" s="13"/>
      <c r="ABY25" s="13"/>
      <c r="ABZ25" s="13"/>
      <c r="ACA25" s="13"/>
      <c r="ACB25" s="13"/>
      <c r="ACC25" s="13"/>
      <c r="ACD25" s="13"/>
      <c r="ACE25" s="13"/>
      <c r="ACF25" s="13"/>
      <c r="ACG25" s="13"/>
      <c r="ACH25" s="13"/>
      <c r="ACI25" s="13"/>
      <c r="ACJ25" s="13"/>
      <c r="ACK25" s="13"/>
      <c r="ACL25" s="13"/>
      <c r="ACM25" s="13"/>
      <c r="ACN25" s="13"/>
      <c r="ACO25" s="13"/>
      <c r="ACP25" s="13"/>
      <c r="ACQ25" s="13"/>
      <c r="ACR25" s="13"/>
      <c r="ACS25" s="13"/>
      <c r="ACT25" s="13"/>
      <c r="ACU25" s="13"/>
      <c r="ACV25" s="13"/>
      <c r="ACW25" s="13"/>
      <c r="ACX25" s="13"/>
      <c r="ACY25" s="13"/>
      <c r="ACZ25" s="13"/>
      <c r="ADA25" s="13"/>
      <c r="ADB25" s="13"/>
      <c r="ADC25" s="13"/>
      <c r="ADD25" s="13"/>
      <c r="ADE25" s="13"/>
      <c r="ADF25" s="13"/>
      <c r="ADG25" s="13"/>
      <c r="ADH25" s="13"/>
      <c r="ADI25" s="13"/>
      <c r="ADJ25" s="13"/>
      <c r="ADK25" s="13"/>
      <c r="ADL25" s="13"/>
      <c r="ADM25" s="13"/>
      <c r="ADN25" s="13"/>
      <c r="ADO25" s="13"/>
      <c r="ADP25" s="13"/>
      <c r="ADQ25" s="13"/>
      <c r="ADR25" s="13"/>
      <c r="ADS25" s="13"/>
      <c r="ADT25" s="13"/>
      <c r="ADU25" s="13"/>
      <c r="ADV25" s="13"/>
      <c r="ADW25" s="13"/>
      <c r="ADX25" s="13"/>
      <c r="ADY25" s="13"/>
      <c r="ADZ25" s="13"/>
      <c r="AEA25" s="13"/>
      <c r="AEB25" s="13"/>
      <c r="AEC25" s="13"/>
      <c r="AED25" s="13"/>
      <c r="AEE25" s="13"/>
      <c r="AEF25" s="13"/>
      <c r="AEG25" s="13"/>
      <c r="AEH25" s="13"/>
      <c r="AEI25" s="13"/>
      <c r="AEJ25" s="13"/>
      <c r="AEK25" s="13"/>
      <c r="AEL25" s="13"/>
      <c r="AEM25" s="13"/>
      <c r="AEN25" s="13"/>
      <c r="AEO25" s="13"/>
      <c r="AEP25" s="13"/>
      <c r="AEQ25" s="13"/>
      <c r="AER25" s="13"/>
      <c r="AES25" s="13"/>
      <c r="AET25" s="13"/>
      <c r="AEU25" s="13"/>
      <c r="AEV25" s="13"/>
      <c r="AEW25" s="13"/>
      <c r="AEX25" s="13"/>
      <c r="AEY25" s="13"/>
      <c r="AEZ25" s="13"/>
      <c r="AFA25" s="13"/>
      <c r="AFB25" s="13"/>
      <c r="AFC25" s="13"/>
      <c r="AFD25" s="13"/>
      <c r="AFE25" s="13"/>
      <c r="AFF25" s="13"/>
      <c r="AFG25" s="13"/>
      <c r="AFH25" s="13"/>
      <c r="AFI25" s="13"/>
      <c r="AFJ25" s="13"/>
      <c r="AFK25" s="13"/>
      <c r="AFL25" s="13"/>
      <c r="AFM25" s="13"/>
      <c r="AFN25" s="13"/>
      <c r="AFO25" s="13"/>
      <c r="AFP25" s="13"/>
      <c r="AFQ25" s="13"/>
      <c r="AFR25" s="13"/>
      <c r="AFS25" s="13"/>
      <c r="AFT25" s="13"/>
      <c r="AFU25" s="13"/>
      <c r="AFV25" s="13"/>
      <c r="AFW25" s="13"/>
      <c r="AFX25" s="13"/>
      <c r="AFY25" s="13"/>
      <c r="AFZ25" s="13"/>
      <c r="AGA25" s="13"/>
      <c r="AGB25" s="13"/>
      <c r="AGC25" s="13"/>
      <c r="AGD25" s="13"/>
      <c r="AGE25" s="13"/>
      <c r="AGF25" s="13"/>
      <c r="AGG25" s="13"/>
      <c r="AGH25" s="13"/>
      <c r="AGI25" s="13"/>
      <c r="AGJ25" s="13"/>
      <c r="AGK25" s="13"/>
      <c r="AGL25" s="13"/>
      <c r="AGM25" s="13"/>
      <c r="AGN25" s="13"/>
      <c r="AGO25" s="13"/>
      <c r="AGP25" s="13"/>
      <c r="AGQ25" s="13"/>
      <c r="AGR25" s="13"/>
      <c r="AGS25" s="13"/>
      <c r="AGT25" s="13"/>
      <c r="AGU25" s="13"/>
      <c r="AGV25" s="13"/>
      <c r="AGW25" s="13"/>
      <c r="AGX25" s="13"/>
      <c r="AGY25" s="13"/>
      <c r="AGZ25" s="13"/>
      <c r="AHA25" s="13"/>
      <c r="AHB25" s="13"/>
      <c r="AHC25" s="13"/>
      <c r="AHD25" s="13"/>
      <c r="AHE25" s="13"/>
      <c r="AHF25" s="13"/>
      <c r="AHG25" s="13"/>
      <c r="AHH25" s="13"/>
      <c r="AHI25" s="13"/>
      <c r="AHJ25" s="13"/>
      <c r="AHK25" s="13"/>
      <c r="AHL25" s="13"/>
      <c r="AHM25" s="13"/>
      <c r="AHN25" s="13"/>
      <c r="AHO25" s="13"/>
      <c r="AHP25" s="13"/>
      <c r="AHQ25" s="13"/>
      <c r="AHR25" s="13"/>
      <c r="AHS25" s="13"/>
      <c r="AHT25" s="13"/>
      <c r="AHU25" s="13"/>
      <c r="AHV25" s="13"/>
      <c r="AHW25" s="13"/>
      <c r="AHX25" s="13"/>
      <c r="AHY25" s="13"/>
      <c r="AHZ25" s="13"/>
      <c r="AIA25" s="13"/>
      <c r="AIB25" s="13"/>
      <c r="AIC25" s="13"/>
      <c r="AID25" s="13"/>
      <c r="AIE25" s="13"/>
      <c r="AIF25" s="13"/>
      <c r="AIG25" s="13"/>
      <c r="AIH25" s="13"/>
      <c r="AII25" s="13"/>
      <c r="AIJ25" s="13"/>
      <c r="AIK25" s="13"/>
      <c r="AIL25" s="13"/>
      <c r="AIM25" s="13"/>
      <c r="AIN25" s="13"/>
      <c r="AIO25" s="13"/>
      <c r="AIP25" s="13"/>
      <c r="AIQ25" s="13"/>
      <c r="AIR25" s="13"/>
      <c r="AIS25" s="13"/>
      <c r="AIT25" s="13"/>
      <c r="AIU25" s="13"/>
      <c r="AIV25" s="13"/>
      <c r="AIW25" s="13"/>
      <c r="AIX25" s="13"/>
      <c r="AIY25" s="13"/>
      <c r="AIZ25" s="13"/>
      <c r="AJA25" s="13"/>
      <c r="AJB25" s="13"/>
      <c r="AJC25" s="13"/>
      <c r="AJD25" s="13"/>
      <c r="AJE25" s="13"/>
      <c r="AJF25" s="13"/>
      <c r="AJG25" s="13"/>
      <c r="AJH25" s="13"/>
      <c r="AJI25" s="13"/>
      <c r="AJJ25" s="13"/>
      <c r="AJK25" s="13"/>
      <c r="AJL25" s="13"/>
      <c r="AJM25" s="13"/>
      <c r="AJN25" s="13"/>
      <c r="AJO25" s="13"/>
      <c r="AJP25" s="13"/>
      <c r="AJQ25" s="13"/>
      <c r="AJR25" s="13"/>
      <c r="AJS25" s="13"/>
      <c r="AJT25" s="13"/>
      <c r="AJU25" s="13"/>
      <c r="AJV25" s="13"/>
      <c r="AJW25" s="13"/>
      <c r="AJX25" s="13"/>
      <c r="AJY25" s="13"/>
      <c r="AJZ25" s="13"/>
      <c r="AKA25" s="13"/>
      <c r="AKB25" s="13"/>
      <c r="AKC25" s="13"/>
      <c r="AKD25" s="13"/>
      <c r="AKE25" s="13"/>
      <c r="AKF25" s="13"/>
      <c r="AKG25" s="13"/>
      <c r="AKH25" s="13"/>
      <c r="AKI25" s="13"/>
      <c r="AKJ25" s="13"/>
      <c r="AKK25" s="13"/>
      <c r="AKL25" s="13"/>
      <c r="AKM25" s="13"/>
      <c r="AKN25" s="13"/>
      <c r="AKO25" s="13"/>
      <c r="AKP25" s="13"/>
      <c r="AKQ25" s="13"/>
      <c r="AKR25" s="13"/>
      <c r="AKS25" s="13"/>
      <c r="AKT25" s="13"/>
      <c r="AKU25" s="13"/>
      <c r="AKV25" s="13"/>
      <c r="AKW25" s="13"/>
      <c r="AKX25" s="13"/>
      <c r="AKY25" s="13"/>
      <c r="AKZ25" s="13"/>
      <c r="ALA25" s="13"/>
      <c r="ALB25" s="13"/>
      <c r="ALC25" s="13"/>
      <c r="ALD25" s="13"/>
      <c r="ALE25" s="13"/>
      <c r="ALF25" s="13"/>
      <c r="ALG25" s="13"/>
      <c r="ALH25" s="13"/>
      <c r="ALI25" s="13"/>
      <c r="ALJ25" s="13"/>
      <c r="ALK25" s="13"/>
      <c r="ALL25" s="13"/>
      <c r="ALM25" s="13"/>
      <c r="ALN25" s="13"/>
      <c r="ALO25" s="13"/>
    </row>
    <row r="26" spans="1:1012" x14ac:dyDescent="0.35">
      <c r="A26" s="147" t="s">
        <v>105</v>
      </c>
      <c r="C26" s="3">
        <v>11</v>
      </c>
      <c r="D26" s="3"/>
      <c r="E26" s="73" t="e">
        <f>+'P11'!J24</f>
        <v>#REF!</v>
      </c>
      <c r="F26" s="144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  <c r="IT26" s="13"/>
      <c r="IU26" s="13"/>
      <c r="IV26" s="13"/>
      <c r="IW26" s="13"/>
      <c r="IX26" s="13"/>
      <c r="IY26" s="13"/>
      <c r="IZ26" s="13"/>
      <c r="JA26" s="13"/>
      <c r="JB26" s="13"/>
      <c r="JC26" s="13"/>
      <c r="JD26" s="13"/>
      <c r="JE26" s="13"/>
      <c r="JF26" s="13"/>
      <c r="JG26" s="13"/>
      <c r="JH26" s="13"/>
      <c r="JI26" s="13"/>
      <c r="JJ26" s="13"/>
      <c r="JK26" s="13"/>
      <c r="JL26" s="13"/>
      <c r="JM26" s="13"/>
      <c r="JN26" s="13"/>
      <c r="JO26" s="13"/>
      <c r="JP26" s="13"/>
      <c r="JQ26" s="13"/>
      <c r="JR26" s="13"/>
      <c r="JS26" s="13"/>
      <c r="JT26" s="13"/>
      <c r="JU26" s="13"/>
      <c r="JV26" s="13"/>
      <c r="JW26" s="13"/>
      <c r="JX26" s="13"/>
      <c r="JY26" s="13"/>
      <c r="JZ26" s="13"/>
      <c r="KA26" s="13"/>
      <c r="KB26" s="13"/>
      <c r="KC26" s="13"/>
      <c r="KD26" s="13"/>
      <c r="KE26" s="13"/>
      <c r="KF26" s="13"/>
      <c r="KG26" s="13"/>
      <c r="KH26" s="13"/>
      <c r="KI26" s="13"/>
      <c r="KJ26" s="13"/>
      <c r="KK26" s="13"/>
      <c r="KL26" s="13"/>
      <c r="KM26" s="13"/>
      <c r="KN26" s="13"/>
      <c r="KO26" s="13"/>
      <c r="KP26" s="13"/>
      <c r="KQ26" s="13"/>
      <c r="KR26" s="13"/>
      <c r="KS26" s="13"/>
      <c r="KT26" s="13"/>
      <c r="KU26" s="13"/>
      <c r="KV26" s="13"/>
      <c r="KW26" s="13"/>
      <c r="KX26" s="13"/>
      <c r="KY26" s="13"/>
      <c r="KZ26" s="13"/>
      <c r="LA26" s="13"/>
      <c r="LB26" s="13"/>
      <c r="LC26" s="13"/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3"/>
      <c r="MD26" s="13"/>
      <c r="ME26" s="13"/>
      <c r="MF26" s="13"/>
      <c r="MG26" s="13"/>
      <c r="MH26" s="13"/>
      <c r="MI26" s="13"/>
      <c r="MJ26" s="13"/>
      <c r="MK26" s="13"/>
      <c r="ML26" s="13"/>
      <c r="MM26" s="13"/>
      <c r="MN26" s="13"/>
      <c r="MO26" s="13"/>
      <c r="MP26" s="13"/>
      <c r="MQ26" s="13"/>
      <c r="MR26" s="13"/>
      <c r="MS26" s="13"/>
      <c r="MT26" s="13"/>
      <c r="MU26" s="13"/>
      <c r="MV26" s="13"/>
      <c r="MW26" s="13"/>
      <c r="MX26" s="13"/>
      <c r="MY26" s="13"/>
      <c r="MZ26" s="13"/>
      <c r="NA26" s="13"/>
      <c r="NB26" s="13"/>
      <c r="NC26" s="13"/>
      <c r="ND26" s="13"/>
      <c r="NE26" s="13"/>
      <c r="NF26" s="13"/>
      <c r="NG26" s="13"/>
      <c r="NH26" s="13"/>
      <c r="NI26" s="13"/>
      <c r="NJ26" s="13"/>
      <c r="NK26" s="13"/>
      <c r="NL26" s="13"/>
      <c r="NM26" s="13"/>
      <c r="NN26" s="13"/>
      <c r="NO26" s="13"/>
      <c r="NP26" s="13"/>
      <c r="NQ26" s="13"/>
      <c r="NR26" s="13"/>
      <c r="NS26" s="13"/>
      <c r="NT26" s="13"/>
      <c r="NU26" s="13"/>
      <c r="NV26" s="13"/>
      <c r="NW26" s="13"/>
      <c r="NX26" s="13"/>
      <c r="NY26" s="13"/>
      <c r="NZ26" s="13"/>
      <c r="OA26" s="13"/>
      <c r="OB26" s="13"/>
      <c r="OC26" s="13"/>
      <c r="OD26" s="13"/>
      <c r="OE26" s="13"/>
      <c r="OF26" s="13"/>
      <c r="OG26" s="13"/>
      <c r="OH26" s="13"/>
      <c r="OI26" s="13"/>
      <c r="OJ26" s="13"/>
      <c r="OK26" s="13"/>
      <c r="OL26" s="13"/>
      <c r="OM26" s="13"/>
      <c r="ON26" s="13"/>
      <c r="OO26" s="13"/>
      <c r="OP26" s="13"/>
      <c r="OQ26" s="13"/>
      <c r="OR26" s="13"/>
      <c r="OS26" s="13"/>
      <c r="OT26" s="13"/>
      <c r="OU26" s="13"/>
      <c r="OV26" s="13"/>
      <c r="OW26" s="13"/>
      <c r="OX26" s="13"/>
      <c r="OY26" s="13"/>
      <c r="OZ26" s="13"/>
      <c r="PA26" s="13"/>
      <c r="PB26" s="13"/>
      <c r="PC26" s="13"/>
      <c r="PD26" s="13"/>
      <c r="PE26" s="13"/>
      <c r="PF26" s="13"/>
      <c r="PG26" s="13"/>
      <c r="PH26" s="13"/>
      <c r="PI26" s="13"/>
      <c r="PJ26" s="13"/>
      <c r="PK26" s="13"/>
      <c r="PL26" s="13"/>
      <c r="PM26" s="13"/>
      <c r="PN26" s="13"/>
      <c r="PO26" s="13"/>
      <c r="PP26" s="13"/>
      <c r="PQ26" s="13"/>
      <c r="PR26" s="13"/>
      <c r="PS26" s="13"/>
      <c r="PT26" s="13"/>
      <c r="PU26" s="13"/>
      <c r="PV26" s="13"/>
      <c r="PW26" s="13"/>
      <c r="PX26" s="13"/>
      <c r="PY26" s="13"/>
      <c r="PZ26" s="13"/>
      <c r="QA26" s="13"/>
      <c r="QB26" s="13"/>
      <c r="QC26" s="13"/>
      <c r="QD26" s="13"/>
      <c r="QE26" s="13"/>
      <c r="QF26" s="13"/>
      <c r="QG26" s="13"/>
      <c r="QH26" s="13"/>
      <c r="QI26" s="13"/>
      <c r="QJ26" s="13"/>
      <c r="QK26" s="13"/>
      <c r="QL26" s="13"/>
      <c r="QM26" s="13"/>
      <c r="QN26" s="13"/>
      <c r="QO26" s="13"/>
      <c r="QP26" s="13"/>
      <c r="QQ26" s="13"/>
      <c r="QR26" s="13"/>
      <c r="QS26" s="13"/>
      <c r="QT26" s="13"/>
      <c r="QU26" s="13"/>
      <c r="QV26" s="13"/>
      <c r="QW26" s="13"/>
      <c r="QX26" s="13"/>
      <c r="QY26" s="13"/>
      <c r="QZ26" s="13"/>
      <c r="RA26" s="13"/>
      <c r="RB26" s="13"/>
      <c r="RC26" s="13"/>
      <c r="RD26" s="13"/>
      <c r="RE26" s="13"/>
      <c r="RF26" s="13"/>
      <c r="RG26" s="13"/>
      <c r="RH26" s="13"/>
      <c r="RI26" s="13"/>
      <c r="RJ26" s="13"/>
      <c r="RK26" s="13"/>
      <c r="RL26" s="13"/>
      <c r="RM26" s="13"/>
      <c r="RN26" s="13"/>
      <c r="RO26" s="13"/>
      <c r="RP26" s="13"/>
      <c r="RQ26" s="13"/>
      <c r="RR26" s="13"/>
      <c r="RS26" s="13"/>
      <c r="RT26" s="13"/>
      <c r="RU26" s="13"/>
      <c r="RV26" s="13"/>
      <c r="RW26" s="13"/>
      <c r="RX26" s="13"/>
      <c r="RY26" s="13"/>
      <c r="RZ26" s="13"/>
      <c r="SA26" s="13"/>
      <c r="SB26" s="13"/>
      <c r="SC26" s="13"/>
      <c r="SD26" s="13"/>
      <c r="SE26" s="13"/>
      <c r="SF26" s="13"/>
      <c r="SG26" s="13"/>
      <c r="SH26" s="13"/>
      <c r="SI26" s="13"/>
      <c r="SJ26" s="13"/>
      <c r="SK26" s="13"/>
      <c r="SL26" s="13"/>
      <c r="SM26" s="13"/>
      <c r="SN26" s="13"/>
      <c r="SO26" s="13"/>
      <c r="SP26" s="13"/>
      <c r="SQ26" s="13"/>
      <c r="SR26" s="13"/>
      <c r="SS26" s="13"/>
      <c r="ST26" s="13"/>
      <c r="SU26" s="13"/>
      <c r="SV26" s="13"/>
      <c r="SW26" s="13"/>
      <c r="SX26" s="13"/>
      <c r="SY26" s="13"/>
      <c r="SZ26" s="13"/>
      <c r="TA26" s="13"/>
      <c r="TB26" s="13"/>
      <c r="TC26" s="13"/>
      <c r="TD26" s="13"/>
      <c r="TE26" s="13"/>
      <c r="TF26" s="13"/>
      <c r="TG26" s="13"/>
      <c r="TH26" s="13"/>
      <c r="TI26" s="13"/>
      <c r="TJ26" s="13"/>
      <c r="TK26" s="13"/>
      <c r="TL26" s="13"/>
      <c r="TM26" s="13"/>
      <c r="TN26" s="13"/>
      <c r="TO26" s="13"/>
      <c r="TP26" s="13"/>
      <c r="TQ26" s="13"/>
      <c r="TR26" s="13"/>
      <c r="TS26" s="13"/>
      <c r="TT26" s="13"/>
      <c r="TU26" s="13"/>
      <c r="TV26" s="13"/>
      <c r="TW26" s="13"/>
      <c r="TX26" s="13"/>
      <c r="TY26" s="13"/>
      <c r="TZ26" s="13"/>
      <c r="UA26" s="13"/>
      <c r="UB26" s="13"/>
      <c r="UC26" s="13"/>
      <c r="UD26" s="13"/>
      <c r="UE26" s="13"/>
      <c r="UF26" s="13"/>
      <c r="UG26" s="13"/>
      <c r="UH26" s="13"/>
      <c r="UI26" s="13"/>
      <c r="UJ26" s="13"/>
      <c r="UK26" s="13"/>
      <c r="UL26" s="13"/>
      <c r="UM26" s="13"/>
      <c r="UN26" s="13"/>
      <c r="UO26" s="13"/>
      <c r="UP26" s="13"/>
      <c r="UQ26" s="13"/>
      <c r="UR26" s="13"/>
      <c r="US26" s="13"/>
      <c r="UT26" s="13"/>
      <c r="UU26" s="13"/>
      <c r="UV26" s="13"/>
      <c r="UW26" s="13"/>
      <c r="UX26" s="13"/>
      <c r="UY26" s="13"/>
      <c r="UZ26" s="13"/>
      <c r="VA26" s="13"/>
      <c r="VB26" s="13"/>
      <c r="VC26" s="13"/>
      <c r="VD26" s="13"/>
      <c r="VE26" s="13"/>
      <c r="VF26" s="13"/>
      <c r="VG26" s="13"/>
      <c r="VH26" s="13"/>
      <c r="VI26" s="13"/>
      <c r="VJ26" s="13"/>
      <c r="VK26" s="13"/>
      <c r="VL26" s="13"/>
      <c r="VM26" s="13"/>
      <c r="VN26" s="13"/>
      <c r="VO26" s="13"/>
      <c r="VP26" s="13"/>
      <c r="VQ26" s="13"/>
      <c r="VR26" s="13"/>
      <c r="VS26" s="13"/>
      <c r="VT26" s="13"/>
      <c r="VU26" s="13"/>
      <c r="VV26" s="13"/>
      <c r="VW26" s="13"/>
      <c r="VX26" s="13"/>
      <c r="VY26" s="13"/>
      <c r="VZ26" s="13"/>
      <c r="WA26" s="13"/>
      <c r="WB26" s="13"/>
      <c r="WC26" s="13"/>
      <c r="WD26" s="13"/>
      <c r="WE26" s="13"/>
      <c r="WF26" s="13"/>
      <c r="WG26" s="13"/>
      <c r="WH26" s="13"/>
      <c r="WI26" s="13"/>
      <c r="WJ26" s="13"/>
      <c r="WK26" s="13"/>
      <c r="WL26" s="13"/>
      <c r="WM26" s="13"/>
      <c r="WN26" s="13"/>
      <c r="WO26" s="13"/>
      <c r="WP26" s="13"/>
      <c r="WQ26" s="13"/>
      <c r="WR26" s="13"/>
      <c r="WS26" s="13"/>
      <c r="WT26" s="13"/>
      <c r="WU26" s="13"/>
      <c r="WV26" s="13"/>
      <c r="WW26" s="13"/>
      <c r="WX26" s="13"/>
      <c r="WY26" s="13"/>
      <c r="WZ26" s="13"/>
      <c r="XA26" s="13"/>
      <c r="XB26" s="13"/>
      <c r="XC26" s="13"/>
      <c r="XD26" s="13"/>
      <c r="XE26" s="13"/>
      <c r="XF26" s="13"/>
      <c r="XG26" s="13"/>
      <c r="XH26" s="13"/>
      <c r="XI26" s="13"/>
      <c r="XJ26" s="13"/>
      <c r="XK26" s="13"/>
      <c r="XL26" s="13"/>
      <c r="XM26" s="13"/>
      <c r="XN26" s="13"/>
      <c r="XO26" s="13"/>
      <c r="XP26" s="13"/>
      <c r="XQ26" s="13"/>
      <c r="XR26" s="13"/>
      <c r="XS26" s="13"/>
      <c r="XT26" s="13"/>
      <c r="XU26" s="13"/>
      <c r="XV26" s="13"/>
      <c r="XW26" s="13"/>
      <c r="XX26" s="13"/>
      <c r="XY26" s="13"/>
      <c r="XZ26" s="13"/>
      <c r="YA26" s="13"/>
      <c r="YB26" s="13"/>
      <c r="YC26" s="13"/>
      <c r="YD26" s="13"/>
      <c r="YE26" s="13"/>
      <c r="YF26" s="13"/>
      <c r="YG26" s="13"/>
      <c r="YH26" s="13"/>
      <c r="YI26" s="13"/>
      <c r="YJ26" s="13"/>
      <c r="YK26" s="13"/>
      <c r="YL26" s="13"/>
      <c r="YM26" s="13"/>
      <c r="YN26" s="13"/>
      <c r="YO26" s="13"/>
      <c r="YP26" s="13"/>
      <c r="YQ26" s="13"/>
      <c r="YR26" s="13"/>
      <c r="YS26" s="13"/>
      <c r="YT26" s="13"/>
      <c r="YU26" s="13"/>
      <c r="YV26" s="13"/>
      <c r="YW26" s="13"/>
      <c r="YX26" s="13"/>
      <c r="YY26" s="13"/>
      <c r="YZ26" s="13"/>
      <c r="ZA26" s="13"/>
      <c r="ZB26" s="13"/>
      <c r="ZC26" s="13"/>
      <c r="ZD26" s="13"/>
      <c r="ZE26" s="13"/>
      <c r="ZF26" s="13"/>
      <c r="ZG26" s="13"/>
      <c r="ZH26" s="13"/>
      <c r="ZI26" s="13"/>
      <c r="ZJ26" s="13"/>
      <c r="ZK26" s="13"/>
      <c r="ZL26" s="13"/>
      <c r="ZM26" s="13"/>
      <c r="ZN26" s="13"/>
      <c r="ZO26" s="13"/>
      <c r="ZP26" s="13"/>
      <c r="ZQ26" s="13"/>
      <c r="ZR26" s="13"/>
      <c r="ZS26" s="13"/>
      <c r="ZT26" s="13"/>
      <c r="ZU26" s="13"/>
      <c r="ZV26" s="13"/>
      <c r="ZW26" s="13"/>
      <c r="ZX26" s="13"/>
      <c r="ZY26" s="13"/>
      <c r="ZZ26" s="13"/>
      <c r="AAA26" s="13"/>
      <c r="AAB26" s="13"/>
      <c r="AAC26" s="13"/>
      <c r="AAD26" s="13"/>
      <c r="AAE26" s="13"/>
      <c r="AAF26" s="13"/>
      <c r="AAG26" s="13"/>
      <c r="AAH26" s="13"/>
      <c r="AAI26" s="13"/>
      <c r="AAJ26" s="13"/>
      <c r="AAK26" s="13"/>
      <c r="AAL26" s="13"/>
      <c r="AAM26" s="13"/>
      <c r="AAN26" s="13"/>
      <c r="AAO26" s="13"/>
      <c r="AAP26" s="13"/>
      <c r="AAQ26" s="13"/>
      <c r="AAR26" s="13"/>
      <c r="AAS26" s="13"/>
      <c r="AAT26" s="13"/>
      <c r="AAU26" s="13"/>
      <c r="AAV26" s="13"/>
      <c r="AAW26" s="13"/>
      <c r="AAX26" s="13"/>
      <c r="AAY26" s="13"/>
      <c r="AAZ26" s="13"/>
      <c r="ABA26" s="13"/>
      <c r="ABB26" s="13"/>
      <c r="ABC26" s="13"/>
      <c r="ABD26" s="13"/>
      <c r="ABE26" s="13"/>
      <c r="ABF26" s="13"/>
      <c r="ABG26" s="13"/>
      <c r="ABH26" s="13"/>
      <c r="ABI26" s="13"/>
      <c r="ABJ26" s="13"/>
      <c r="ABK26" s="13"/>
      <c r="ABL26" s="13"/>
      <c r="ABM26" s="13"/>
      <c r="ABN26" s="13"/>
      <c r="ABO26" s="13"/>
      <c r="ABP26" s="13"/>
      <c r="ABQ26" s="13"/>
      <c r="ABR26" s="13"/>
      <c r="ABS26" s="13"/>
      <c r="ABT26" s="13"/>
      <c r="ABU26" s="13"/>
      <c r="ABV26" s="13"/>
      <c r="ABW26" s="13"/>
      <c r="ABX26" s="13"/>
      <c r="ABY26" s="13"/>
      <c r="ABZ26" s="13"/>
      <c r="ACA26" s="13"/>
      <c r="ACB26" s="13"/>
      <c r="ACC26" s="13"/>
      <c r="ACD26" s="13"/>
      <c r="ACE26" s="13"/>
      <c r="ACF26" s="13"/>
      <c r="ACG26" s="13"/>
      <c r="ACH26" s="13"/>
      <c r="ACI26" s="13"/>
      <c r="ACJ26" s="13"/>
      <c r="ACK26" s="13"/>
      <c r="ACL26" s="13"/>
      <c r="ACM26" s="13"/>
      <c r="ACN26" s="13"/>
      <c r="ACO26" s="13"/>
      <c r="ACP26" s="13"/>
      <c r="ACQ26" s="13"/>
      <c r="ACR26" s="13"/>
      <c r="ACS26" s="13"/>
      <c r="ACT26" s="13"/>
      <c r="ACU26" s="13"/>
      <c r="ACV26" s="13"/>
      <c r="ACW26" s="13"/>
      <c r="ACX26" s="13"/>
      <c r="ACY26" s="13"/>
      <c r="ACZ26" s="13"/>
      <c r="ADA26" s="13"/>
      <c r="ADB26" s="13"/>
      <c r="ADC26" s="13"/>
      <c r="ADD26" s="13"/>
      <c r="ADE26" s="13"/>
      <c r="ADF26" s="13"/>
      <c r="ADG26" s="13"/>
      <c r="ADH26" s="13"/>
      <c r="ADI26" s="13"/>
      <c r="ADJ26" s="13"/>
      <c r="ADK26" s="13"/>
      <c r="ADL26" s="13"/>
      <c r="ADM26" s="13"/>
      <c r="ADN26" s="13"/>
      <c r="ADO26" s="13"/>
      <c r="ADP26" s="13"/>
      <c r="ADQ26" s="13"/>
      <c r="ADR26" s="13"/>
      <c r="ADS26" s="13"/>
      <c r="ADT26" s="13"/>
      <c r="ADU26" s="13"/>
      <c r="ADV26" s="13"/>
      <c r="ADW26" s="13"/>
      <c r="ADX26" s="13"/>
      <c r="ADY26" s="13"/>
      <c r="ADZ26" s="13"/>
      <c r="AEA26" s="13"/>
      <c r="AEB26" s="13"/>
      <c r="AEC26" s="13"/>
      <c r="AED26" s="13"/>
      <c r="AEE26" s="13"/>
      <c r="AEF26" s="13"/>
      <c r="AEG26" s="13"/>
      <c r="AEH26" s="13"/>
      <c r="AEI26" s="13"/>
      <c r="AEJ26" s="13"/>
      <c r="AEK26" s="13"/>
      <c r="AEL26" s="13"/>
      <c r="AEM26" s="13"/>
      <c r="AEN26" s="13"/>
      <c r="AEO26" s="13"/>
      <c r="AEP26" s="13"/>
      <c r="AEQ26" s="13"/>
      <c r="AER26" s="13"/>
      <c r="AES26" s="13"/>
      <c r="AET26" s="13"/>
      <c r="AEU26" s="13"/>
      <c r="AEV26" s="13"/>
      <c r="AEW26" s="13"/>
      <c r="AEX26" s="13"/>
      <c r="AEY26" s="13"/>
      <c r="AEZ26" s="13"/>
      <c r="AFA26" s="13"/>
      <c r="AFB26" s="13"/>
      <c r="AFC26" s="13"/>
      <c r="AFD26" s="13"/>
      <c r="AFE26" s="13"/>
      <c r="AFF26" s="13"/>
      <c r="AFG26" s="13"/>
      <c r="AFH26" s="13"/>
      <c r="AFI26" s="13"/>
      <c r="AFJ26" s="13"/>
      <c r="AFK26" s="13"/>
      <c r="AFL26" s="13"/>
      <c r="AFM26" s="13"/>
      <c r="AFN26" s="13"/>
      <c r="AFO26" s="13"/>
      <c r="AFP26" s="13"/>
      <c r="AFQ26" s="13"/>
      <c r="AFR26" s="13"/>
      <c r="AFS26" s="13"/>
      <c r="AFT26" s="13"/>
      <c r="AFU26" s="13"/>
      <c r="AFV26" s="13"/>
      <c r="AFW26" s="13"/>
      <c r="AFX26" s="13"/>
      <c r="AFY26" s="13"/>
      <c r="AFZ26" s="13"/>
      <c r="AGA26" s="13"/>
      <c r="AGB26" s="13"/>
      <c r="AGC26" s="13"/>
      <c r="AGD26" s="13"/>
      <c r="AGE26" s="13"/>
      <c r="AGF26" s="13"/>
      <c r="AGG26" s="13"/>
      <c r="AGH26" s="13"/>
      <c r="AGI26" s="13"/>
      <c r="AGJ26" s="13"/>
      <c r="AGK26" s="13"/>
      <c r="AGL26" s="13"/>
      <c r="AGM26" s="13"/>
      <c r="AGN26" s="13"/>
      <c r="AGO26" s="13"/>
      <c r="AGP26" s="13"/>
      <c r="AGQ26" s="13"/>
      <c r="AGR26" s="13"/>
      <c r="AGS26" s="13"/>
      <c r="AGT26" s="13"/>
      <c r="AGU26" s="13"/>
      <c r="AGV26" s="13"/>
      <c r="AGW26" s="13"/>
      <c r="AGX26" s="13"/>
      <c r="AGY26" s="13"/>
      <c r="AGZ26" s="13"/>
      <c r="AHA26" s="13"/>
      <c r="AHB26" s="13"/>
      <c r="AHC26" s="13"/>
      <c r="AHD26" s="13"/>
      <c r="AHE26" s="13"/>
      <c r="AHF26" s="13"/>
      <c r="AHG26" s="13"/>
      <c r="AHH26" s="13"/>
      <c r="AHI26" s="13"/>
      <c r="AHJ26" s="13"/>
      <c r="AHK26" s="13"/>
      <c r="AHL26" s="13"/>
      <c r="AHM26" s="13"/>
      <c r="AHN26" s="13"/>
      <c r="AHO26" s="13"/>
      <c r="AHP26" s="13"/>
      <c r="AHQ26" s="13"/>
      <c r="AHR26" s="13"/>
      <c r="AHS26" s="13"/>
      <c r="AHT26" s="13"/>
      <c r="AHU26" s="13"/>
      <c r="AHV26" s="13"/>
      <c r="AHW26" s="13"/>
      <c r="AHX26" s="13"/>
      <c r="AHY26" s="13"/>
      <c r="AHZ26" s="13"/>
      <c r="AIA26" s="13"/>
      <c r="AIB26" s="13"/>
      <c r="AIC26" s="13"/>
      <c r="AID26" s="13"/>
      <c r="AIE26" s="13"/>
      <c r="AIF26" s="13"/>
      <c r="AIG26" s="13"/>
      <c r="AIH26" s="13"/>
      <c r="AII26" s="13"/>
      <c r="AIJ26" s="13"/>
      <c r="AIK26" s="13"/>
      <c r="AIL26" s="13"/>
      <c r="AIM26" s="13"/>
      <c r="AIN26" s="13"/>
      <c r="AIO26" s="13"/>
      <c r="AIP26" s="13"/>
      <c r="AIQ26" s="13"/>
      <c r="AIR26" s="13"/>
      <c r="AIS26" s="13"/>
      <c r="AIT26" s="13"/>
      <c r="AIU26" s="13"/>
      <c r="AIV26" s="13"/>
      <c r="AIW26" s="13"/>
      <c r="AIX26" s="13"/>
      <c r="AIY26" s="13"/>
      <c r="AIZ26" s="13"/>
      <c r="AJA26" s="13"/>
      <c r="AJB26" s="13"/>
      <c r="AJC26" s="13"/>
      <c r="AJD26" s="13"/>
      <c r="AJE26" s="13"/>
      <c r="AJF26" s="13"/>
      <c r="AJG26" s="13"/>
      <c r="AJH26" s="13"/>
      <c r="AJI26" s="13"/>
      <c r="AJJ26" s="13"/>
      <c r="AJK26" s="13"/>
      <c r="AJL26" s="13"/>
      <c r="AJM26" s="13"/>
      <c r="AJN26" s="13"/>
      <c r="AJO26" s="13"/>
      <c r="AJP26" s="13"/>
      <c r="AJQ26" s="13"/>
      <c r="AJR26" s="13"/>
      <c r="AJS26" s="13"/>
      <c r="AJT26" s="13"/>
      <c r="AJU26" s="13"/>
      <c r="AJV26" s="13"/>
      <c r="AJW26" s="13"/>
      <c r="AJX26" s="13"/>
      <c r="AJY26" s="13"/>
      <c r="AJZ26" s="13"/>
      <c r="AKA26" s="13"/>
      <c r="AKB26" s="13"/>
      <c r="AKC26" s="13"/>
      <c r="AKD26" s="13"/>
      <c r="AKE26" s="13"/>
      <c r="AKF26" s="13"/>
      <c r="AKG26" s="13"/>
      <c r="AKH26" s="13"/>
      <c r="AKI26" s="13"/>
      <c r="AKJ26" s="13"/>
      <c r="AKK26" s="13"/>
      <c r="AKL26" s="13"/>
      <c r="AKM26" s="13"/>
      <c r="AKN26" s="13"/>
      <c r="AKO26" s="13"/>
      <c r="AKP26" s="13"/>
      <c r="AKQ26" s="13"/>
      <c r="AKR26" s="13"/>
      <c r="AKS26" s="13"/>
      <c r="AKT26" s="13"/>
      <c r="AKU26" s="13"/>
      <c r="AKV26" s="13"/>
      <c r="AKW26" s="13"/>
      <c r="AKX26" s="13"/>
      <c r="AKY26" s="13"/>
      <c r="AKZ26" s="13"/>
      <c r="ALA26" s="13"/>
      <c r="ALB26" s="13"/>
      <c r="ALC26" s="13"/>
      <c r="ALD26" s="13"/>
      <c r="ALE26" s="13"/>
      <c r="ALF26" s="13"/>
      <c r="ALG26" s="13"/>
      <c r="ALH26" s="13"/>
      <c r="ALI26" s="13"/>
      <c r="ALJ26" s="13"/>
      <c r="ALK26" s="13"/>
      <c r="ALL26" s="13"/>
      <c r="ALM26" s="13"/>
      <c r="ALN26" s="13"/>
      <c r="ALO26" s="13"/>
    </row>
    <row r="27" spans="1:1012" x14ac:dyDescent="0.35">
      <c r="A27" s="147" t="s">
        <v>38</v>
      </c>
      <c r="B27" s="148"/>
      <c r="E27" s="73">
        <f>TB!C15</f>
        <v>1000000</v>
      </c>
      <c r="F27" s="144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13"/>
      <c r="HQ27" s="13"/>
      <c r="HR27" s="13"/>
      <c r="HS27" s="13"/>
      <c r="HT27" s="13"/>
      <c r="HU27" s="13"/>
      <c r="HV27" s="13"/>
      <c r="HW27" s="13"/>
      <c r="HX27" s="13"/>
      <c r="HY27" s="13"/>
      <c r="HZ27" s="13"/>
      <c r="IA27" s="13"/>
      <c r="IB27" s="13"/>
      <c r="IC27" s="13"/>
      <c r="ID27" s="13"/>
      <c r="IE27" s="13"/>
      <c r="IF27" s="13"/>
      <c r="IG27" s="13"/>
      <c r="IH27" s="13"/>
      <c r="II27" s="13"/>
      <c r="IJ27" s="13"/>
      <c r="IK27" s="13"/>
      <c r="IL27" s="13"/>
      <c r="IM27" s="13"/>
      <c r="IN27" s="13"/>
      <c r="IO27" s="13"/>
      <c r="IP27" s="13"/>
      <c r="IQ27" s="13"/>
      <c r="IR27" s="13"/>
      <c r="IS27" s="13"/>
      <c r="IT27" s="13"/>
      <c r="IU27" s="13"/>
      <c r="IV27" s="13"/>
      <c r="IW27" s="13"/>
      <c r="IX27" s="13"/>
      <c r="IY27" s="13"/>
      <c r="IZ27" s="13"/>
      <c r="JA27" s="13"/>
      <c r="JB27" s="13"/>
      <c r="JC27" s="13"/>
      <c r="JD27" s="13"/>
      <c r="JE27" s="13"/>
      <c r="JF27" s="13"/>
      <c r="JG27" s="13"/>
      <c r="JH27" s="13"/>
      <c r="JI27" s="13"/>
      <c r="JJ27" s="13"/>
      <c r="JK27" s="13"/>
      <c r="JL27" s="13"/>
      <c r="JM27" s="13"/>
      <c r="JN27" s="13"/>
      <c r="JO27" s="13"/>
      <c r="JP27" s="13"/>
      <c r="JQ27" s="13"/>
      <c r="JR27" s="13"/>
      <c r="JS27" s="13"/>
      <c r="JT27" s="13"/>
      <c r="JU27" s="13"/>
      <c r="JV27" s="13"/>
      <c r="JW27" s="13"/>
      <c r="JX27" s="13"/>
      <c r="JY27" s="13"/>
      <c r="JZ27" s="13"/>
      <c r="KA27" s="13"/>
      <c r="KB27" s="13"/>
      <c r="KC27" s="13"/>
      <c r="KD27" s="13"/>
      <c r="KE27" s="13"/>
      <c r="KF27" s="13"/>
      <c r="KG27" s="13"/>
      <c r="KH27" s="13"/>
      <c r="KI27" s="13"/>
      <c r="KJ27" s="13"/>
      <c r="KK27" s="13"/>
      <c r="KL27" s="13"/>
      <c r="KM27" s="13"/>
      <c r="KN27" s="13"/>
      <c r="KO27" s="13"/>
      <c r="KP27" s="13"/>
      <c r="KQ27" s="13"/>
      <c r="KR27" s="13"/>
      <c r="KS27" s="13"/>
      <c r="KT27" s="13"/>
      <c r="KU27" s="13"/>
      <c r="KV27" s="13"/>
      <c r="KW27" s="13"/>
      <c r="KX27" s="13"/>
      <c r="KY27" s="13"/>
      <c r="KZ27" s="13"/>
      <c r="LA27" s="13"/>
      <c r="LB27" s="13"/>
      <c r="LC27" s="13"/>
      <c r="LD27" s="13"/>
      <c r="LE27" s="13"/>
      <c r="LF27" s="13"/>
      <c r="LG27" s="13"/>
      <c r="LH27" s="13"/>
      <c r="LI27" s="13"/>
      <c r="LJ27" s="13"/>
      <c r="LK27" s="13"/>
      <c r="LL27" s="13"/>
      <c r="LM27" s="13"/>
      <c r="LN27" s="13"/>
      <c r="LO27" s="13"/>
      <c r="LP27" s="13"/>
      <c r="LQ27" s="13"/>
      <c r="LR27" s="13"/>
      <c r="LS27" s="13"/>
      <c r="LT27" s="13"/>
      <c r="LU27" s="13"/>
      <c r="LV27" s="13"/>
      <c r="LW27" s="13"/>
      <c r="LX27" s="13"/>
      <c r="LY27" s="13"/>
      <c r="LZ27" s="13"/>
      <c r="MA27" s="13"/>
      <c r="MB27" s="13"/>
      <c r="MC27" s="13"/>
      <c r="MD27" s="13"/>
      <c r="ME27" s="13"/>
      <c r="MF27" s="13"/>
      <c r="MG27" s="13"/>
      <c r="MH27" s="13"/>
      <c r="MI27" s="13"/>
      <c r="MJ27" s="13"/>
      <c r="MK27" s="13"/>
      <c r="ML27" s="13"/>
      <c r="MM27" s="13"/>
      <c r="MN27" s="13"/>
      <c r="MO27" s="13"/>
      <c r="MP27" s="13"/>
      <c r="MQ27" s="13"/>
      <c r="MR27" s="13"/>
      <c r="MS27" s="13"/>
      <c r="MT27" s="13"/>
      <c r="MU27" s="13"/>
      <c r="MV27" s="13"/>
      <c r="MW27" s="13"/>
      <c r="MX27" s="13"/>
      <c r="MY27" s="13"/>
      <c r="MZ27" s="13"/>
      <c r="NA27" s="13"/>
      <c r="NB27" s="13"/>
      <c r="NC27" s="13"/>
      <c r="ND27" s="13"/>
      <c r="NE27" s="13"/>
      <c r="NF27" s="13"/>
      <c r="NG27" s="13"/>
      <c r="NH27" s="13"/>
      <c r="NI27" s="13"/>
      <c r="NJ27" s="13"/>
      <c r="NK27" s="13"/>
      <c r="NL27" s="13"/>
      <c r="NM27" s="13"/>
      <c r="NN27" s="13"/>
      <c r="NO27" s="13"/>
      <c r="NP27" s="13"/>
      <c r="NQ27" s="13"/>
      <c r="NR27" s="13"/>
      <c r="NS27" s="13"/>
      <c r="NT27" s="13"/>
      <c r="NU27" s="13"/>
      <c r="NV27" s="13"/>
      <c r="NW27" s="13"/>
      <c r="NX27" s="13"/>
      <c r="NY27" s="13"/>
      <c r="NZ27" s="13"/>
      <c r="OA27" s="13"/>
      <c r="OB27" s="13"/>
      <c r="OC27" s="13"/>
      <c r="OD27" s="13"/>
      <c r="OE27" s="13"/>
      <c r="OF27" s="13"/>
      <c r="OG27" s="13"/>
      <c r="OH27" s="13"/>
      <c r="OI27" s="13"/>
      <c r="OJ27" s="13"/>
      <c r="OK27" s="13"/>
      <c r="OL27" s="13"/>
      <c r="OM27" s="13"/>
      <c r="ON27" s="13"/>
      <c r="OO27" s="13"/>
      <c r="OP27" s="13"/>
      <c r="OQ27" s="13"/>
      <c r="OR27" s="13"/>
      <c r="OS27" s="13"/>
      <c r="OT27" s="13"/>
      <c r="OU27" s="13"/>
      <c r="OV27" s="13"/>
      <c r="OW27" s="13"/>
      <c r="OX27" s="13"/>
      <c r="OY27" s="13"/>
      <c r="OZ27" s="13"/>
      <c r="PA27" s="13"/>
      <c r="PB27" s="13"/>
      <c r="PC27" s="13"/>
      <c r="PD27" s="13"/>
      <c r="PE27" s="13"/>
      <c r="PF27" s="13"/>
      <c r="PG27" s="13"/>
      <c r="PH27" s="13"/>
      <c r="PI27" s="13"/>
      <c r="PJ27" s="13"/>
      <c r="PK27" s="13"/>
      <c r="PL27" s="13"/>
      <c r="PM27" s="13"/>
      <c r="PN27" s="13"/>
      <c r="PO27" s="13"/>
      <c r="PP27" s="13"/>
      <c r="PQ27" s="13"/>
      <c r="PR27" s="13"/>
      <c r="PS27" s="13"/>
      <c r="PT27" s="13"/>
      <c r="PU27" s="13"/>
      <c r="PV27" s="13"/>
      <c r="PW27" s="13"/>
      <c r="PX27" s="13"/>
      <c r="PY27" s="13"/>
      <c r="PZ27" s="13"/>
      <c r="QA27" s="13"/>
      <c r="QB27" s="13"/>
      <c r="QC27" s="13"/>
      <c r="QD27" s="13"/>
      <c r="QE27" s="13"/>
      <c r="QF27" s="13"/>
      <c r="QG27" s="13"/>
      <c r="QH27" s="13"/>
      <c r="QI27" s="13"/>
      <c r="QJ27" s="13"/>
      <c r="QK27" s="13"/>
      <c r="QL27" s="13"/>
      <c r="QM27" s="13"/>
      <c r="QN27" s="13"/>
      <c r="QO27" s="13"/>
      <c r="QP27" s="13"/>
      <c r="QQ27" s="13"/>
      <c r="QR27" s="13"/>
      <c r="QS27" s="13"/>
      <c r="QT27" s="13"/>
      <c r="QU27" s="13"/>
      <c r="QV27" s="13"/>
      <c r="QW27" s="13"/>
      <c r="QX27" s="13"/>
      <c r="QY27" s="13"/>
      <c r="QZ27" s="13"/>
      <c r="RA27" s="13"/>
      <c r="RB27" s="13"/>
      <c r="RC27" s="13"/>
      <c r="RD27" s="13"/>
      <c r="RE27" s="13"/>
      <c r="RF27" s="13"/>
      <c r="RG27" s="13"/>
      <c r="RH27" s="13"/>
      <c r="RI27" s="13"/>
      <c r="RJ27" s="13"/>
      <c r="RK27" s="13"/>
      <c r="RL27" s="13"/>
      <c r="RM27" s="13"/>
      <c r="RN27" s="13"/>
      <c r="RO27" s="13"/>
      <c r="RP27" s="13"/>
      <c r="RQ27" s="13"/>
      <c r="RR27" s="13"/>
      <c r="RS27" s="13"/>
      <c r="RT27" s="13"/>
      <c r="RU27" s="13"/>
      <c r="RV27" s="13"/>
      <c r="RW27" s="13"/>
      <c r="RX27" s="13"/>
      <c r="RY27" s="13"/>
      <c r="RZ27" s="13"/>
      <c r="SA27" s="13"/>
      <c r="SB27" s="13"/>
      <c r="SC27" s="13"/>
      <c r="SD27" s="13"/>
      <c r="SE27" s="13"/>
      <c r="SF27" s="13"/>
      <c r="SG27" s="13"/>
      <c r="SH27" s="13"/>
      <c r="SI27" s="13"/>
      <c r="SJ27" s="13"/>
      <c r="SK27" s="13"/>
      <c r="SL27" s="13"/>
      <c r="SM27" s="13"/>
      <c r="SN27" s="13"/>
      <c r="SO27" s="13"/>
      <c r="SP27" s="13"/>
      <c r="SQ27" s="13"/>
      <c r="SR27" s="13"/>
      <c r="SS27" s="13"/>
      <c r="ST27" s="13"/>
      <c r="SU27" s="13"/>
      <c r="SV27" s="13"/>
      <c r="SW27" s="13"/>
      <c r="SX27" s="13"/>
      <c r="SY27" s="13"/>
      <c r="SZ27" s="13"/>
      <c r="TA27" s="13"/>
      <c r="TB27" s="13"/>
      <c r="TC27" s="13"/>
      <c r="TD27" s="13"/>
      <c r="TE27" s="13"/>
      <c r="TF27" s="13"/>
      <c r="TG27" s="13"/>
      <c r="TH27" s="13"/>
      <c r="TI27" s="13"/>
      <c r="TJ27" s="13"/>
      <c r="TK27" s="13"/>
      <c r="TL27" s="13"/>
      <c r="TM27" s="13"/>
      <c r="TN27" s="13"/>
      <c r="TO27" s="13"/>
      <c r="TP27" s="13"/>
      <c r="TQ27" s="13"/>
      <c r="TR27" s="13"/>
      <c r="TS27" s="13"/>
      <c r="TT27" s="13"/>
      <c r="TU27" s="13"/>
      <c r="TV27" s="13"/>
      <c r="TW27" s="13"/>
      <c r="TX27" s="13"/>
      <c r="TY27" s="13"/>
      <c r="TZ27" s="13"/>
      <c r="UA27" s="13"/>
      <c r="UB27" s="13"/>
      <c r="UC27" s="13"/>
      <c r="UD27" s="13"/>
      <c r="UE27" s="13"/>
      <c r="UF27" s="13"/>
      <c r="UG27" s="13"/>
      <c r="UH27" s="13"/>
      <c r="UI27" s="13"/>
      <c r="UJ27" s="13"/>
      <c r="UK27" s="13"/>
      <c r="UL27" s="13"/>
      <c r="UM27" s="13"/>
      <c r="UN27" s="13"/>
      <c r="UO27" s="13"/>
      <c r="UP27" s="13"/>
      <c r="UQ27" s="13"/>
      <c r="UR27" s="13"/>
      <c r="US27" s="13"/>
      <c r="UT27" s="13"/>
      <c r="UU27" s="13"/>
      <c r="UV27" s="13"/>
      <c r="UW27" s="13"/>
      <c r="UX27" s="13"/>
      <c r="UY27" s="13"/>
      <c r="UZ27" s="13"/>
      <c r="VA27" s="13"/>
      <c r="VB27" s="13"/>
      <c r="VC27" s="13"/>
      <c r="VD27" s="13"/>
      <c r="VE27" s="13"/>
      <c r="VF27" s="13"/>
      <c r="VG27" s="13"/>
      <c r="VH27" s="13"/>
      <c r="VI27" s="13"/>
      <c r="VJ27" s="13"/>
      <c r="VK27" s="13"/>
      <c r="VL27" s="13"/>
      <c r="VM27" s="13"/>
      <c r="VN27" s="13"/>
      <c r="VO27" s="13"/>
      <c r="VP27" s="13"/>
      <c r="VQ27" s="13"/>
      <c r="VR27" s="13"/>
      <c r="VS27" s="13"/>
      <c r="VT27" s="13"/>
      <c r="VU27" s="13"/>
      <c r="VV27" s="13"/>
      <c r="VW27" s="13"/>
      <c r="VX27" s="13"/>
      <c r="VY27" s="13"/>
      <c r="VZ27" s="13"/>
      <c r="WA27" s="13"/>
      <c r="WB27" s="13"/>
      <c r="WC27" s="13"/>
      <c r="WD27" s="13"/>
      <c r="WE27" s="13"/>
      <c r="WF27" s="13"/>
      <c r="WG27" s="13"/>
      <c r="WH27" s="13"/>
      <c r="WI27" s="13"/>
      <c r="WJ27" s="13"/>
      <c r="WK27" s="13"/>
      <c r="WL27" s="13"/>
      <c r="WM27" s="13"/>
      <c r="WN27" s="13"/>
      <c r="WO27" s="13"/>
      <c r="WP27" s="13"/>
      <c r="WQ27" s="13"/>
      <c r="WR27" s="13"/>
      <c r="WS27" s="13"/>
      <c r="WT27" s="13"/>
      <c r="WU27" s="13"/>
      <c r="WV27" s="13"/>
      <c r="WW27" s="13"/>
      <c r="WX27" s="13"/>
      <c r="WY27" s="13"/>
      <c r="WZ27" s="13"/>
      <c r="XA27" s="13"/>
      <c r="XB27" s="13"/>
      <c r="XC27" s="13"/>
      <c r="XD27" s="13"/>
      <c r="XE27" s="13"/>
      <c r="XF27" s="13"/>
      <c r="XG27" s="13"/>
      <c r="XH27" s="13"/>
      <c r="XI27" s="13"/>
      <c r="XJ27" s="13"/>
      <c r="XK27" s="13"/>
      <c r="XL27" s="13"/>
      <c r="XM27" s="13"/>
      <c r="XN27" s="13"/>
      <c r="XO27" s="13"/>
      <c r="XP27" s="13"/>
      <c r="XQ27" s="13"/>
      <c r="XR27" s="13"/>
      <c r="XS27" s="13"/>
      <c r="XT27" s="13"/>
      <c r="XU27" s="13"/>
      <c r="XV27" s="13"/>
      <c r="XW27" s="13"/>
      <c r="XX27" s="13"/>
      <c r="XY27" s="13"/>
      <c r="XZ27" s="13"/>
      <c r="YA27" s="13"/>
      <c r="YB27" s="13"/>
      <c r="YC27" s="13"/>
      <c r="YD27" s="13"/>
      <c r="YE27" s="13"/>
      <c r="YF27" s="13"/>
      <c r="YG27" s="13"/>
      <c r="YH27" s="13"/>
      <c r="YI27" s="13"/>
      <c r="YJ27" s="13"/>
      <c r="YK27" s="13"/>
      <c r="YL27" s="13"/>
      <c r="YM27" s="13"/>
      <c r="YN27" s="13"/>
      <c r="YO27" s="13"/>
      <c r="YP27" s="13"/>
      <c r="YQ27" s="13"/>
      <c r="YR27" s="13"/>
      <c r="YS27" s="13"/>
      <c r="YT27" s="13"/>
      <c r="YU27" s="13"/>
      <c r="YV27" s="13"/>
      <c r="YW27" s="13"/>
      <c r="YX27" s="13"/>
      <c r="YY27" s="13"/>
      <c r="YZ27" s="13"/>
      <c r="ZA27" s="13"/>
      <c r="ZB27" s="13"/>
      <c r="ZC27" s="13"/>
      <c r="ZD27" s="13"/>
      <c r="ZE27" s="13"/>
      <c r="ZF27" s="13"/>
      <c r="ZG27" s="13"/>
      <c r="ZH27" s="13"/>
      <c r="ZI27" s="13"/>
      <c r="ZJ27" s="13"/>
      <c r="ZK27" s="13"/>
      <c r="ZL27" s="13"/>
      <c r="ZM27" s="13"/>
      <c r="ZN27" s="13"/>
      <c r="ZO27" s="13"/>
      <c r="ZP27" s="13"/>
      <c r="ZQ27" s="13"/>
      <c r="ZR27" s="13"/>
      <c r="ZS27" s="13"/>
      <c r="ZT27" s="13"/>
      <c r="ZU27" s="13"/>
      <c r="ZV27" s="13"/>
      <c r="ZW27" s="13"/>
      <c r="ZX27" s="13"/>
      <c r="ZY27" s="13"/>
      <c r="ZZ27" s="13"/>
      <c r="AAA27" s="13"/>
      <c r="AAB27" s="13"/>
      <c r="AAC27" s="13"/>
      <c r="AAD27" s="13"/>
      <c r="AAE27" s="13"/>
      <c r="AAF27" s="13"/>
      <c r="AAG27" s="13"/>
      <c r="AAH27" s="13"/>
      <c r="AAI27" s="13"/>
      <c r="AAJ27" s="13"/>
      <c r="AAK27" s="13"/>
      <c r="AAL27" s="13"/>
      <c r="AAM27" s="13"/>
      <c r="AAN27" s="13"/>
      <c r="AAO27" s="13"/>
      <c r="AAP27" s="13"/>
      <c r="AAQ27" s="13"/>
      <c r="AAR27" s="13"/>
      <c r="AAS27" s="13"/>
      <c r="AAT27" s="13"/>
      <c r="AAU27" s="13"/>
      <c r="AAV27" s="13"/>
      <c r="AAW27" s="13"/>
      <c r="AAX27" s="13"/>
      <c r="AAY27" s="13"/>
      <c r="AAZ27" s="13"/>
      <c r="ABA27" s="13"/>
      <c r="ABB27" s="13"/>
      <c r="ABC27" s="13"/>
      <c r="ABD27" s="13"/>
      <c r="ABE27" s="13"/>
      <c r="ABF27" s="13"/>
      <c r="ABG27" s="13"/>
      <c r="ABH27" s="13"/>
      <c r="ABI27" s="13"/>
      <c r="ABJ27" s="13"/>
      <c r="ABK27" s="13"/>
      <c r="ABL27" s="13"/>
      <c r="ABM27" s="13"/>
      <c r="ABN27" s="13"/>
      <c r="ABO27" s="13"/>
      <c r="ABP27" s="13"/>
      <c r="ABQ27" s="13"/>
      <c r="ABR27" s="13"/>
      <c r="ABS27" s="13"/>
      <c r="ABT27" s="13"/>
      <c r="ABU27" s="13"/>
      <c r="ABV27" s="13"/>
      <c r="ABW27" s="13"/>
      <c r="ABX27" s="13"/>
      <c r="ABY27" s="13"/>
      <c r="ABZ27" s="13"/>
      <c r="ACA27" s="13"/>
      <c r="ACB27" s="13"/>
      <c r="ACC27" s="13"/>
      <c r="ACD27" s="13"/>
      <c r="ACE27" s="13"/>
      <c r="ACF27" s="13"/>
      <c r="ACG27" s="13"/>
      <c r="ACH27" s="13"/>
      <c r="ACI27" s="13"/>
      <c r="ACJ27" s="13"/>
      <c r="ACK27" s="13"/>
      <c r="ACL27" s="13"/>
      <c r="ACM27" s="13"/>
      <c r="ACN27" s="13"/>
      <c r="ACO27" s="13"/>
      <c r="ACP27" s="13"/>
      <c r="ACQ27" s="13"/>
      <c r="ACR27" s="13"/>
      <c r="ACS27" s="13"/>
      <c r="ACT27" s="13"/>
      <c r="ACU27" s="13"/>
      <c r="ACV27" s="13"/>
      <c r="ACW27" s="13"/>
      <c r="ACX27" s="13"/>
      <c r="ACY27" s="13"/>
      <c r="ACZ27" s="13"/>
      <c r="ADA27" s="13"/>
      <c r="ADB27" s="13"/>
      <c r="ADC27" s="13"/>
      <c r="ADD27" s="13"/>
      <c r="ADE27" s="13"/>
      <c r="ADF27" s="13"/>
      <c r="ADG27" s="13"/>
      <c r="ADH27" s="13"/>
      <c r="ADI27" s="13"/>
      <c r="ADJ27" s="13"/>
      <c r="ADK27" s="13"/>
      <c r="ADL27" s="13"/>
      <c r="ADM27" s="13"/>
      <c r="ADN27" s="13"/>
      <c r="ADO27" s="13"/>
      <c r="ADP27" s="13"/>
      <c r="ADQ27" s="13"/>
      <c r="ADR27" s="13"/>
      <c r="ADS27" s="13"/>
      <c r="ADT27" s="13"/>
      <c r="ADU27" s="13"/>
      <c r="ADV27" s="13"/>
      <c r="ADW27" s="13"/>
      <c r="ADX27" s="13"/>
      <c r="ADY27" s="13"/>
      <c r="ADZ27" s="13"/>
      <c r="AEA27" s="13"/>
      <c r="AEB27" s="13"/>
      <c r="AEC27" s="13"/>
      <c r="AED27" s="13"/>
      <c r="AEE27" s="13"/>
      <c r="AEF27" s="13"/>
      <c r="AEG27" s="13"/>
      <c r="AEH27" s="13"/>
      <c r="AEI27" s="13"/>
      <c r="AEJ27" s="13"/>
      <c r="AEK27" s="13"/>
      <c r="AEL27" s="13"/>
      <c r="AEM27" s="13"/>
      <c r="AEN27" s="13"/>
      <c r="AEO27" s="13"/>
      <c r="AEP27" s="13"/>
      <c r="AEQ27" s="13"/>
      <c r="AER27" s="13"/>
      <c r="AES27" s="13"/>
      <c r="AET27" s="13"/>
      <c r="AEU27" s="13"/>
      <c r="AEV27" s="13"/>
      <c r="AEW27" s="13"/>
      <c r="AEX27" s="13"/>
      <c r="AEY27" s="13"/>
      <c r="AEZ27" s="13"/>
      <c r="AFA27" s="13"/>
      <c r="AFB27" s="13"/>
      <c r="AFC27" s="13"/>
      <c r="AFD27" s="13"/>
      <c r="AFE27" s="13"/>
      <c r="AFF27" s="13"/>
      <c r="AFG27" s="13"/>
      <c r="AFH27" s="13"/>
      <c r="AFI27" s="13"/>
      <c r="AFJ27" s="13"/>
      <c r="AFK27" s="13"/>
      <c r="AFL27" s="13"/>
      <c r="AFM27" s="13"/>
      <c r="AFN27" s="13"/>
      <c r="AFO27" s="13"/>
      <c r="AFP27" s="13"/>
      <c r="AFQ27" s="13"/>
      <c r="AFR27" s="13"/>
      <c r="AFS27" s="13"/>
      <c r="AFT27" s="13"/>
      <c r="AFU27" s="13"/>
      <c r="AFV27" s="13"/>
      <c r="AFW27" s="13"/>
      <c r="AFX27" s="13"/>
      <c r="AFY27" s="13"/>
      <c r="AFZ27" s="13"/>
      <c r="AGA27" s="13"/>
      <c r="AGB27" s="13"/>
      <c r="AGC27" s="13"/>
      <c r="AGD27" s="13"/>
      <c r="AGE27" s="13"/>
      <c r="AGF27" s="13"/>
      <c r="AGG27" s="13"/>
      <c r="AGH27" s="13"/>
      <c r="AGI27" s="13"/>
      <c r="AGJ27" s="13"/>
      <c r="AGK27" s="13"/>
      <c r="AGL27" s="13"/>
      <c r="AGM27" s="13"/>
      <c r="AGN27" s="13"/>
      <c r="AGO27" s="13"/>
      <c r="AGP27" s="13"/>
      <c r="AGQ27" s="13"/>
      <c r="AGR27" s="13"/>
      <c r="AGS27" s="13"/>
      <c r="AGT27" s="13"/>
      <c r="AGU27" s="13"/>
      <c r="AGV27" s="13"/>
      <c r="AGW27" s="13"/>
      <c r="AGX27" s="13"/>
      <c r="AGY27" s="13"/>
      <c r="AGZ27" s="13"/>
      <c r="AHA27" s="13"/>
      <c r="AHB27" s="13"/>
      <c r="AHC27" s="13"/>
      <c r="AHD27" s="13"/>
      <c r="AHE27" s="13"/>
      <c r="AHF27" s="13"/>
      <c r="AHG27" s="13"/>
      <c r="AHH27" s="13"/>
      <c r="AHI27" s="13"/>
      <c r="AHJ27" s="13"/>
      <c r="AHK27" s="13"/>
      <c r="AHL27" s="13"/>
      <c r="AHM27" s="13"/>
      <c r="AHN27" s="13"/>
      <c r="AHO27" s="13"/>
      <c r="AHP27" s="13"/>
      <c r="AHQ27" s="13"/>
      <c r="AHR27" s="13"/>
      <c r="AHS27" s="13"/>
      <c r="AHT27" s="13"/>
      <c r="AHU27" s="13"/>
      <c r="AHV27" s="13"/>
      <c r="AHW27" s="13"/>
      <c r="AHX27" s="13"/>
      <c r="AHY27" s="13"/>
      <c r="AHZ27" s="13"/>
      <c r="AIA27" s="13"/>
      <c r="AIB27" s="13"/>
      <c r="AIC27" s="13"/>
      <c r="AID27" s="13"/>
      <c r="AIE27" s="13"/>
      <c r="AIF27" s="13"/>
      <c r="AIG27" s="13"/>
      <c r="AIH27" s="13"/>
      <c r="AII27" s="13"/>
      <c r="AIJ27" s="13"/>
      <c r="AIK27" s="13"/>
      <c r="AIL27" s="13"/>
      <c r="AIM27" s="13"/>
      <c r="AIN27" s="13"/>
      <c r="AIO27" s="13"/>
      <c r="AIP27" s="13"/>
      <c r="AIQ27" s="13"/>
      <c r="AIR27" s="13"/>
      <c r="AIS27" s="13"/>
      <c r="AIT27" s="13"/>
      <c r="AIU27" s="13"/>
      <c r="AIV27" s="13"/>
      <c r="AIW27" s="13"/>
      <c r="AIX27" s="13"/>
      <c r="AIY27" s="13"/>
      <c r="AIZ27" s="13"/>
      <c r="AJA27" s="13"/>
      <c r="AJB27" s="13"/>
      <c r="AJC27" s="13"/>
      <c r="AJD27" s="13"/>
      <c r="AJE27" s="13"/>
      <c r="AJF27" s="13"/>
      <c r="AJG27" s="13"/>
      <c r="AJH27" s="13"/>
      <c r="AJI27" s="13"/>
      <c r="AJJ27" s="13"/>
      <c r="AJK27" s="13"/>
      <c r="AJL27" s="13"/>
      <c r="AJM27" s="13"/>
      <c r="AJN27" s="13"/>
      <c r="AJO27" s="13"/>
      <c r="AJP27" s="13"/>
      <c r="AJQ27" s="13"/>
      <c r="AJR27" s="13"/>
      <c r="AJS27" s="13"/>
      <c r="AJT27" s="13"/>
      <c r="AJU27" s="13"/>
      <c r="AJV27" s="13"/>
      <c r="AJW27" s="13"/>
      <c r="AJX27" s="13"/>
      <c r="AJY27" s="13"/>
      <c r="AJZ27" s="13"/>
      <c r="AKA27" s="13"/>
      <c r="AKB27" s="13"/>
      <c r="AKC27" s="13"/>
      <c r="AKD27" s="13"/>
      <c r="AKE27" s="13"/>
      <c r="AKF27" s="13"/>
      <c r="AKG27" s="13"/>
      <c r="AKH27" s="13"/>
      <c r="AKI27" s="13"/>
      <c r="AKJ27" s="13"/>
      <c r="AKK27" s="13"/>
      <c r="AKL27" s="13"/>
      <c r="AKM27" s="13"/>
      <c r="AKN27" s="13"/>
      <c r="AKO27" s="13"/>
      <c r="AKP27" s="13"/>
      <c r="AKQ27" s="13"/>
      <c r="AKR27" s="13"/>
      <c r="AKS27" s="13"/>
      <c r="AKT27" s="13"/>
      <c r="AKU27" s="13"/>
      <c r="AKV27" s="13"/>
      <c r="AKW27" s="13"/>
      <c r="AKX27" s="13"/>
      <c r="AKY27" s="13"/>
      <c r="AKZ27" s="13"/>
      <c r="ALA27" s="13"/>
      <c r="ALB27" s="13"/>
      <c r="ALC27" s="13"/>
      <c r="ALD27" s="13"/>
      <c r="ALE27" s="13"/>
      <c r="ALF27" s="13"/>
      <c r="ALG27" s="13"/>
      <c r="ALH27" s="13"/>
      <c r="ALI27" s="13"/>
      <c r="ALJ27" s="13"/>
      <c r="ALK27" s="13"/>
      <c r="ALL27" s="13"/>
      <c r="ALM27" s="13"/>
      <c r="ALN27" s="13"/>
      <c r="ALO27" s="13"/>
    </row>
    <row r="28" spans="1:1012" x14ac:dyDescent="0.35">
      <c r="A28" s="149" t="s">
        <v>41</v>
      </c>
      <c r="E28" s="126" t="e">
        <f>SUM(E26:E27)</f>
        <v>#REF!</v>
      </c>
      <c r="F28" s="144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13"/>
      <c r="HQ28" s="13"/>
      <c r="HR28" s="13"/>
      <c r="HS28" s="13"/>
      <c r="HT28" s="13"/>
      <c r="HU28" s="13"/>
      <c r="HV28" s="13"/>
      <c r="HW28" s="13"/>
      <c r="HX28" s="13"/>
      <c r="HY28" s="13"/>
      <c r="HZ28" s="13"/>
      <c r="IA28" s="13"/>
      <c r="IB28" s="13"/>
      <c r="IC28" s="13"/>
      <c r="ID28" s="13"/>
      <c r="IE28" s="13"/>
      <c r="IF28" s="13"/>
      <c r="IG28" s="13"/>
      <c r="IH28" s="13"/>
      <c r="II28" s="13"/>
      <c r="IJ28" s="13"/>
      <c r="IK28" s="13"/>
      <c r="IL28" s="13"/>
      <c r="IM28" s="13"/>
      <c r="IN28" s="13"/>
      <c r="IO28" s="13"/>
      <c r="IP28" s="13"/>
      <c r="IQ28" s="13"/>
      <c r="IR28" s="13"/>
      <c r="IS28" s="13"/>
      <c r="IT28" s="13"/>
      <c r="IU28" s="13"/>
      <c r="IV28" s="13"/>
      <c r="IW28" s="13"/>
      <c r="IX28" s="13"/>
      <c r="IY28" s="13"/>
      <c r="IZ28" s="13"/>
      <c r="JA28" s="13"/>
      <c r="JB28" s="13"/>
      <c r="JC28" s="13"/>
      <c r="JD28" s="13"/>
      <c r="JE28" s="13"/>
      <c r="JF28" s="13"/>
      <c r="JG28" s="13"/>
      <c r="JH28" s="13"/>
      <c r="JI28" s="13"/>
      <c r="JJ28" s="13"/>
      <c r="JK28" s="13"/>
      <c r="JL28" s="13"/>
      <c r="JM28" s="13"/>
      <c r="JN28" s="13"/>
      <c r="JO28" s="13"/>
      <c r="JP28" s="13"/>
      <c r="JQ28" s="13"/>
      <c r="JR28" s="13"/>
      <c r="JS28" s="13"/>
      <c r="JT28" s="13"/>
      <c r="JU28" s="13"/>
      <c r="JV28" s="13"/>
      <c r="JW28" s="13"/>
      <c r="JX28" s="13"/>
      <c r="JY28" s="13"/>
      <c r="JZ28" s="13"/>
      <c r="KA28" s="13"/>
      <c r="KB28" s="13"/>
      <c r="KC28" s="13"/>
      <c r="KD28" s="13"/>
      <c r="KE28" s="13"/>
      <c r="KF28" s="13"/>
      <c r="KG28" s="13"/>
      <c r="KH28" s="13"/>
      <c r="KI28" s="13"/>
      <c r="KJ28" s="13"/>
      <c r="KK28" s="13"/>
      <c r="KL28" s="13"/>
      <c r="KM28" s="13"/>
      <c r="KN28" s="13"/>
      <c r="KO28" s="13"/>
      <c r="KP28" s="13"/>
      <c r="KQ28" s="13"/>
      <c r="KR28" s="13"/>
      <c r="KS28" s="13"/>
      <c r="KT28" s="13"/>
      <c r="KU28" s="13"/>
      <c r="KV28" s="13"/>
      <c r="KW28" s="13"/>
      <c r="KX28" s="13"/>
      <c r="KY28" s="13"/>
      <c r="KZ28" s="13"/>
      <c r="LA28" s="13"/>
      <c r="LB28" s="13"/>
      <c r="LC28" s="13"/>
      <c r="LD28" s="13"/>
      <c r="LE28" s="13"/>
      <c r="LF28" s="13"/>
      <c r="LG28" s="13"/>
      <c r="LH28" s="13"/>
      <c r="LI28" s="13"/>
      <c r="LJ28" s="13"/>
      <c r="LK28" s="13"/>
      <c r="LL28" s="13"/>
      <c r="LM28" s="13"/>
      <c r="LN28" s="13"/>
      <c r="LO28" s="13"/>
      <c r="LP28" s="13"/>
      <c r="LQ28" s="13"/>
      <c r="LR28" s="13"/>
      <c r="LS28" s="13"/>
      <c r="LT28" s="13"/>
      <c r="LU28" s="13"/>
      <c r="LV28" s="13"/>
      <c r="LW28" s="13"/>
      <c r="LX28" s="13"/>
      <c r="LY28" s="13"/>
      <c r="LZ28" s="13"/>
      <c r="MA28" s="13"/>
      <c r="MB28" s="13"/>
      <c r="MC28" s="13"/>
      <c r="MD28" s="13"/>
      <c r="ME28" s="13"/>
      <c r="MF28" s="13"/>
      <c r="MG28" s="13"/>
      <c r="MH28" s="13"/>
      <c r="MI28" s="13"/>
      <c r="MJ28" s="13"/>
      <c r="MK28" s="13"/>
      <c r="ML28" s="13"/>
      <c r="MM28" s="13"/>
      <c r="MN28" s="13"/>
      <c r="MO28" s="13"/>
      <c r="MP28" s="13"/>
      <c r="MQ28" s="13"/>
      <c r="MR28" s="13"/>
      <c r="MS28" s="13"/>
      <c r="MT28" s="13"/>
      <c r="MU28" s="13"/>
      <c r="MV28" s="13"/>
      <c r="MW28" s="13"/>
      <c r="MX28" s="13"/>
      <c r="MY28" s="13"/>
      <c r="MZ28" s="13"/>
      <c r="NA28" s="13"/>
      <c r="NB28" s="13"/>
      <c r="NC28" s="13"/>
      <c r="ND28" s="13"/>
      <c r="NE28" s="13"/>
      <c r="NF28" s="13"/>
      <c r="NG28" s="13"/>
      <c r="NH28" s="13"/>
      <c r="NI28" s="13"/>
      <c r="NJ28" s="13"/>
      <c r="NK28" s="13"/>
      <c r="NL28" s="13"/>
      <c r="NM28" s="13"/>
      <c r="NN28" s="13"/>
      <c r="NO28" s="13"/>
      <c r="NP28" s="13"/>
      <c r="NQ28" s="13"/>
      <c r="NR28" s="13"/>
      <c r="NS28" s="13"/>
      <c r="NT28" s="13"/>
      <c r="NU28" s="13"/>
      <c r="NV28" s="13"/>
      <c r="NW28" s="13"/>
      <c r="NX28" s="13"/>
      <c r="NY28" s="13"/>
      <c r="NZ28" s="13"/>
      <c r="OA28" s="13"/>
      <c r="OB28" s="13"/>
      <c r="OC28" s="13"/>
      <c r="OD28" s="13"/>
      <c r="OE28" s="13"/>
      <c r="OF28" s="13"/>
      <c r="OG28" s="13"/>
      <c r="OH28" s="13"/>
      <c r="OI28" s="13"/>
      <c r="OJ28" s="13"/>
      <c r="OK28" s="13"/>
      <c r="OL28" s="13"/>
      <c r="OM28" s="13"/>
      <c r="ON28" s="13"/>
      <c r="OO28" s="13"/>
      <c r="OP28" s="13"/>
      <c r="OQ28" s="13"/>
      <c r="OR28" s="13"/>
      <c r="OS28" s="13"/>
      <c r="OT28" s="13"/>
      <c r="OU28" s="13"/>
      <c r="OV28" s="13"/>
      <c r="OW28" s="13"/>
      <c r="OX28" s="13"/>
      <c r="OY28" s="13"/>
      <c r="OZ28" s="13"/>
      <c r="PA28" s="13"/>
      <c r="PB28" s="13"/>
      <c r="PC28" s="13"/>
      <c r="PD28" s="13"/>
      <c r="PE28" s="13"/>
      <c r="PF28" s="13"/>
      <c r="PG28" s="13"/>
      <c r="PH28" s="13"/>
      <c r="PI28" s="13"/>
      <c r="PJ28" s="13"/>
      <c r="PK28" s="13"/>
      <c r="PL28" s="13"/>
      <c r="PM28" s="13"/>
      <c r="PN28" s="13"/>
      <c r="PO28" s="13"/>
      <c r="PP28" s="13"/>
      <c r="PQ28" s="13"/>
      <c r="PR28" s="13"/>
      <c r="PS28" s="13"/>
      <c r="PT28" s="13"/>
      <c r="PU28" s="13"/>
      <c r="PV28" s="13"/>
      <c r="PW28" s="13"/>
      <c r="PX28" s="13"/>
      <c r="PY28" s="13"/>
      <c r="PZ28" s="13"/>
      <c r="QA28" s="13"/>
      <c r="QB28" s="13"/>
      <c r="QC28" s="13"/>
      <c r="QD28" s="13"/>
      <c r="QE28" s="13"/>
      <c r="QF28" s="13"/>
      <c r="QG28" s="13"/>
      <c r="QH28" s="13"/>
      <c r="QI28" s="13"/>
      <c r="QJ28" s="13"/>
      <c r="QK28" s="13"/>
      <c r="QL28" s="13"/>
      <c r="QM28" s="13"/>
      <c r="QN28" s="13"/>
      <c r="QO28" s="13"/>
      <c r="QP28" s="13"/>
      <c r="QQ28" s="13"/>
      <c r="QR28" s="13"/>
      <c r="QS28" s="13"/>
      <c r="QT28" s="13"/>
      <c r="QU28" s="13"/>
      <c r="QV28" s="13"/>
      <c r="QW28" s="13"/>
      <c r="QX28" s="13"/>
      <c r="QY28" s="13"/>
      <c r="QZ28" s="13"/>
      <c r="RA28" s="13"/>
      <c r="RB28" s="13"/>
      <c r="RC28" s="13"/>
      <c r="RD28" s="13"/>
      <c r="RE28" s="13"/>
      <c r="RF28" s="13"/>
      <c r="RG28" s="13"/>
      <c r="RH28" s="13"/>
      <c r="RI28" s="13"/>
      <c r="RJ28" s="13"/>
      <c r="RK28" s="13"/>
      <c r="RL28" s="13"/>
      <c r="RM28" s="13"/>
      <c r="RN28" s="13"/>
      <c r="RO28" s="13"/>
      <c r="RP28" s="13"/>
      <c r="RQ28" s="13"/>
      <c r="RR28" s="13"/>
      <c r="RS28" s="13"/>
      <c r="RT28" s="13"/>
      <c r="RU28" s="13"/>
      <c r="RV28" s="13"/>
      <c r="RW28" s="13"/>
      <c r="RX28" s="13"/>
      <c r="RY28" s="13"/>
      <c r="RZ28" s="13"/>
      <c r="SA28" s="13"/>
      <c r="SB28" s="13"/>
      <c r="SC28" s="13"/>
      <c r="SD28" s="13"/>
      <c r="SE28" s="13"/>
      <c r="SF28" s="13"/>
      <c r="SG28" s="13"/>
      <c r="SH28" s="13"/>
      <c r="SI28" s="13"/>
      <c r="SJ28" s="13"/>
      <c r="SK28" s="13"/>
      <c r="SL28" s="13"/>
      <c r="SM28" s="13"/>
      <c r="SN28" s="13"/>
      <c r="SO28" s="13"/>
      <c r="SP28" s="13"/>
      <c r="SQ28" s="13"/>
      <c r="SR28" s="13"/>
      <c r="SS28" s="13"/>
      <c r="ST28" s="13"/>
      <c r="SU28" s="13"/>
      <c r="SV28" s="13"/>
      <c r="SW28" s="13"/>
      <c r="SX28" s="13"/>
      <c r="SY28" s="13"/>
      <c r="SZ28" s="13"/>
      <c r="TA28" s="13"/>
      <c r="TB28" s="13"/>
      <c r="TC28" s="13"/>
      <c r="TD28" s="13"/>
      <c r="TE28" s="13"/>
      <c r="TF28" s="13"/>
      <c r="TG28" s="13"/>
      <c r="TH28" s="13"/>
      <c r="TI28" s="13"/>
      <c r="TJ28" s="13"/>
      <c r="TK28" s="13"/>
      <c r="TL28" s="13"/>
      <c r="TM28" s="13"/>
      <c r="TN28" s="13"/>
      <c r="TO28" s="13"/>
      <c r="TP28" s="13"/>
      <c r="TQ28" s="13"/>
      <c r="TR28" s="13"/>
      <c r="TS28" s="13"/>
      <c r="TT28" s="13"/>
      <c r="TU28" s="13"/>
      <c r="TV28" s="13"/>
      <c r="TW28" s="13"/>
      <c r="TX28" s="13"/>
      <c r="TY28" s="13"/>
      <c r="TZ28" s="13"/>
      <c r="UA28" s="13"/>
      <c r="UB28" s="13"/>
      <c r="UC28" s="13"/>
      <c r="UD28" s="13"/>
      <c r="UE28" s="13"/>
      <c r="UF28" s="13"/>
      <c r="UG28" s="13"/>
      <c r="UH28" s="13"/>
      <c r="UI28" s="13"/>
      <c r="UJ28" s="13"/>
      <c r="UK28" s="13"/>
      <c r="UL28" s="13"/>
      <c r="UM28" s="13"/>
      <c r="UN28" s="13"/>
      <c r="UO28" s="13"/>
      <c r="UP28" s="13"/>
      <c r="UQ28" s="13"/>
      <c r="UR28" s="13"/>
      <c r="US28" s="13"/>
      <c r="UT28" s="13"/>
      <c r="UU28" s="13"/>
      <c r="UV28" s="13"/>
      <c r="UW28" s="13"/>
      <c r="UX28" s="13"/>
      <c r="UY28" s="13"/>
      <c r="UZ28" s="13"/>
      <c r="VA28" s="13"/>
      <c r="VB28" s="13"/>
      <c r="VC28" s="13"/>
      <c r="VD28" s="13"/>
      <c r="VE28" s="13"/>
      <c r="VF28" s="13"/>
      <c r="VG28" s="13"/>
      <c r="VH28" s="13"/>
      <c r="VI28" s="13"/>
      <c r="VJ28" s="13"/>
      <c r="VK28" s="13"/>
      <c r="VL28" s="13"/>
      <c r="VM28" s="13"/>
      <c r="VN28" s="13"/>
      <c r="VO28" s="13"/>
      <c r="VP28" s="13"/>
      <c r="VQ28" s="13"/>
      <c r="VR28" s="13"/>
      <c r="VS28" s="13"/>
      <c r="VT28" s="13"/>
      <c r="VU28" s="13"/>
      <c r="VV28" s="13"/>
      <c r="VW28" s="13"/>
      <c r="VX28" s="13"/>
      <c r="VY28" s="13"/>
      <c r="VZ28" s="13"/>
      <c r="WA28" s="13"/>
      <c r="WB28" s="13"/>
      <c r="WC28" s="13"/>
      <c r="WD28" s="13"/>
      <c r="WE28" s="13"/>
      <c r="WF28" s="13"/>
      <c r="WG28" s="13"/>
      <c r="WH28" s="13"/>
      <c r="WI28" s="13"/>
      <c r="WJ28" s="13"/>
      <c r="WK28" s="13"/>
      <c r="WL28" s="13"/>
      <c r="WM28" s="13"/>
      <c r="WN28" s="13"/>
      <c r="WO28" s="13"/>
      <c r="WP28" s="13"/>
      <c r="WQ28" s="13"/>
      <c r="WR28" s="13"/>
      <c r="WS28" s="13"/>
      <c r="WT28" s="13"/>
      <c r="WU28" s="13"/>
      <c r="WV28" s="13"/>
      <c r="WW28" s="13"/>
      <c r="WX28" s="13"/>
      <c r="WY28" s="13"/>
      <c r="WZ28" s="13"/>
      <c r="XA28" s="13"/>
      <c r="XB28" s="13"/>
      <c r="XC28" s="13"/>
      <c r="XD28" s="13"/>
      <c r="XE28" s="13"/>
      <c r="XF28" s="13"/>
      <c r="XG28" s="13"/>
      <c r="XH28" s="13"/>
      <c r="XI28" s="13"/>
      <c r="XJ28" s="13"/>
      <c r="XK28" s="13"/>
      <c r="XL28" s="13"/>
      <c r="XM28" s="13"/>
      <c r="XN28" s="13"/>
      <c r="XO28" s="13"/>
      <c r="XP28" s="13"/>
      <c r="XQ28" s="13"/>
      <c r="XR28" s="13"/>
      <c r="XS28" s="13"/>
      <c r="XT28" s="13"/>
      <c r="XU28" s="13"/>
      <c r="XV28" s="13"/>
      <c r="XW28" s="13"/>
      <c r="XX28" s="13"/>
      <c r="XY28" s="13"/>
      <c r="XZ28" s="13"/>
      <c r="YA28" s="13"/>
      <c r="YB28" s="13"/>
      <c r="YC28" s="13"/>
      <c r="YD28" s="13"/>
      <c r="YE28" s="13"/>
      <c r="YF28" s="13"/>
      <c r="YG28" s="13"/>
      <c r="YH28" s="13"/>
      <c r="YI28" s="13"/>
      <c r="YJ28" s="13"/>
      <c r="YK28" s="13"/>
      <c r="YL28" s="13"/>
      <c r="YM28" s="13"/>
      <c r="YN28" s="13"/>
      <c r="YO28" s="13"/>
      <c r="YP28" s="13"/>
      <c r="YQ28" s="13"/>
      <c r="YR28" s="13"/>
      <c r="YS28" s="13"/>
      <c r="YT28" s="13"/>
      <c r="YU28" s="13"/>
      <c r="YV28" s="13"/>
      <c r="YW28" s="13"/>
      <c r="YX28" s="13"/>
      <c r="YY28" s="13"/>
      <c r="YZ28" s="13"/>
      <c r="ZA28" s="13"/>
      <c r="ZB28" s="13"/>
      <c r="ZC28" s="13"/>
      <c r="ZD28" s="13"/>
      <c r="ZE28" s="13"/>
      <c r="ZF28" s="13"/>
      <c r="ZG28" s="13"/>
      <c r="ZH28" s="13"/>
      <c r="ZI28" s="13"/>
      <c r="ZJ28" s="13"/>
      <c r="ZK28" s="13"/>
      <c r="ZL28" s="13"/>
      <c r="ZM28" s="13"/>
      <c r="ZN28" s="13"/>
      <c r="ZO28" s="13"/>
      <c r="ZP28" s="13"/>
      <c r="ZQ28" s="13"/>
      <c r="ZR28" s="13"/>
      <c r="ZS28" s="13"/>
      <c r="ZT28" s="13"/>
      <c r="ZU28" s="13"/>
      <c r="ZV28" s="13"/>
      <c r="ZW28" s="13"/>
      <c r="ZX28" s="13"/>
      <c r="ZY28" s="13"/>
      <c r="ZZ28" s="13"/>
      <c r="AAA28" s="13"/>
      <c r="AAB28" s="13"/>
      <c r="AAC28" s="13"/>
      <c r="AAD28" s="13"/>
      <c r="AAE28" s="13"/>
      <c r="AAF28" s="13"/>
      <c r="AAG28" s="13"/>
      <c r="AAH28" s="13"/>
      <c r="AAI28" s="13"/>
      <c r="AAJ28" s="13"/>
      <c r="AAK28" s="13"/>
      <c r="AAL28" s="13"/>
      <c r="AAM28" s="13"/>
      <c r="AAN28" s="13"/>
      <c r="AAO28" s="13"/>
      <c r="AAP28" s="13"/>
      <c r="AAQ28" s="13"/>
      <c r="AAR28" s="13"/>
      <c r="AAS28" s="13"/>
      <c r="AAT28" s="13"/>
      <c r="AAU28" s="13"/>
      <c r="AAV28" s="13"/>
      <c r="AAW28" s="13"/>
      <c r="AAX28" s="13"/>
      <c r="AAY28" s="13"/>
      <c r="AAZ28" s="13"/>
      <c r="ABA28" s="13"/>
      <c r="ABB28" s="13"/>
      <c r="ABC28" s="13"/>
      <c r="ABD28" s="13"/>
      <c r="ABE28" s="13"/>
      <c r="ABF28" s="13"/>
      <c r="ABG28" s="13"/>
      <c r="ABH28" s="13"/>
      <c r="ABI28" s="13"/>
      <c r="ABJ28" s="13"/>
      <c r="ABK28" s="13"/>
      <c r="ABL28" s="13"/>
      <c r="ABM28" s="13"/>
      <c r="ABN28" s="13"/>
      <c r="ABO28" s="13"/>
      <c r="ABP28" s="13"/>
      <c r="ABQ28" s="13"/>
      <c r="ABR28" s="13"/>
      <c r="ABS28" s="13"/>
      <c r="ABT28" s="13"/>
      <c r="ABU28" s="13"/>
      <c r="ABV28" s="13"/>
      <c r="ABW28" s="13"/>
      <c r="ABX28" s="13"/>
      <c r="ABY28" s="13"/>
      <c r="ABZ28" s="13"/>
      <c r="ACA28" s="13"/>
      <c r="ACB28" s="13"/>
      <c r="ACC28" s="13"/>
      <c r="ACD28" s="13"/>
      <c r="ACE28" s="13"/>
      <c r="ACF28" s="13"/>
      <c r="ACG28" s="13"/>
      <c r="ACH28" s="13"/>
      <c r="ACI28" s="13"/>
      <c r="ACJ28" s="13"/>
      <c r="ACK28" s="13"/>
      <c r="ACL28" s="13"/>
      <c r="ACM28" s="13"/>
      <c r="ACN28" s="13"/>
      <c r="ACO28" s="13"/>
      <c r="ACP28" s="13"/>
      <c r="ACQ28" s="13"/>
      <c r="ACR28" s="13"/>
      <c r="ACS28" s="13"/>
      <c r="ACT28" s="13"/>
      <c r="ACU28" s="13"/>
      <c r="ACV28" s="13"/>
      <c r="ACW28" s="13"/>
      <c r="ACX28" s="13"/>
      <c r="ACY28" s="13"/>
      <c r="ACZ28" s="13"/>
      <c r="ADA28" s="13"/>
      <c r="ADB28" s="13"/>
      <c r="ADC28" s="13"/>
      <c r="ADD28" s="13"/>
      <c r="ADE28" s="13"/>
      <c r="ADF28" s="13"/>
      <c r="ADG28" s="13"/>
      <c r="ADH28" s="13"/>
      <c r="ADI28" s="13"/>
      <c r="ADJ28" s="13"/>
      <c r="ADK28" s="13"/>
      <c r="ADL28" s="13"/>
      <c r="ADM28" s="13"/>
      <c r="ADN28" s="13"/>
      <c r="ADO28" s="13"/>
      <c r="ADP28" s="13"/>
      <c r="ADQ28" s="13"/>
      <c r="ADR28" s="13"/>
      <c r="ADS28" s="13"/>
      <c r="ADT28" s="13"/>
      <c r="ADU28" s="13"/>
      <c r="ADV28" s="13"/>
      <c r="ADW28" s="13"/>
      <c r="ADX28" s="13"/>
      <c r="ADY28" s="13"/>
      <c r="ADZ28" s="13"/>
      <c r="AEA28" s="13"/>
      <c r="AEB28" s="13"/>
      <c r="AEC28" s="13"/>
      <c r="AED28" s="13"/>
      <c r="AEE28" s="13"/>
      <c r="AEF28" s="13"/>
      <c r="AEG28" s="13"/>
      <c r="AEH28" s="13"/>
      <c r="AEI28" s="13"/>
      <c r="AEJ28" s="13"/>
      <c r="AEK28" s="13"/>
      <c r="AEL28" s="13"/>
      <c r="AEM28" s="13"/>
      <c r="AEN28" s="13"/>
      <c r="AEO28" s="13"/>
      <c r="AEP28" s="13"/>
      <c r="AEQ28" s="13"/>
      <c r="AER28" s="13"/>
      <c r="AES28" s="13"/>
      <c r="AET28" s="13"/>
      <c r="AEU28" s="13"/>
      <c r="AEV28" s="13"/>
      <c r="AEW28" s="13"/>
      <c r="AEX28" s="13"/>
      <c r="AEY28" s="13"/>
      <c r="AEZ28" s="13"/>
      <c r="AFA28" s="13"/>
      <c r="AFB28" s="13"/>
      <c r="AFC28" s="13"/>
      <c r="AFD28" s="13"/>
      <c r="AFE28" s="13"/>
      <c r="AFF28" s="13"/>
      <c r="AFG28" s="13"/>
      <c r="AFH28" s="13"/>
      <c r="AFI28" s="13"/>
      <c r="AFJ28" s="13"/>
      <c r="AFK28" s="13"/>
      <c r="AFL28" s="13"/>
      <c r="AFM28" s="13"/>
      <c r="AFN28" s="13"/>
      <c r="AFO28" s="13"/>
      <c r="AFP28" s="13"/>
      <c r="AFQ28" s="13"/>
      <c r="AFR28" s="13"/>
      <c r="AFS28" s="13"/>
      <c r="AFT28" s="13"/>
      <c r="AFU28" s="13"/>
      <c r="AFV28" s="13"/>
      <c r="AFW28" s="13"/>
      <c r="AFX28" s="13"/>
      <c r="AFY28" s="13"/>
      <c r="AFZ28" s="13"/>
      <c r="AGA28" s="13"/>
      <c r="AGB28" s="13"/>
      <c r="AGC28" s="13"/>
      <c r="AGD28" s="13"/>
      <c r="AGE28" s="13"/>
      <c r="AGF28" s="13"/>
      <c r="AGG28" s="13"/>
      <c r="AGH28" s="13"/>
      <c r="AGI28" s="13"/>
      <c r="AGJ28" s="13"/>
      <c r="AGK28" s="13"/>
      <c r="AGL28" s="13"/>
      <c r="AGM28" s="13"/>
      <c r="AGN28" s="13"/>
      <c r="AGO28" s="13"/>
      <c r="AGP28" s="13"/>
      <c r="AGQ28" s="13"/>
      <c r="AGR28" s="13"/>
      <c r="AGS28" s="13"/>
      <c r="AGT28" s="13"/>
      <c r="AGU28" s="13"/>
      <c r="AGV28" s="13"/>
      <c r="AGW28" s="13"/>
      <c r="AGX28" s="13"/>
      <c r="AGY28" s="13"/>
      <c r="AGZ28" s="13"/>
      <c r="AHA28" s="13"/>
      <c r="AHB28" s="13"/>
      <c r="AHC28" s="13"/>
      <c r="AHD28" s="13"/>
      <c r="AHE28" s="13"/>
      <c r="AHF28" s="13"/>
      <c r="AHG28" s="13"/>
      <c r="AHH28" s="13"/>
      <c r="AHI28" s="13"/>
      <c r="AHJ28" s="13"/>
      <c r="AHK28" s="13"/>
      <c r="AHL28" s="13"/>
      <c r="AHM28" s="13"/>
      <c r="AHN28" s="13"/>
      <c r="AHO28" s="13"/>
      <c r="AHP28" s="13"/>
      <c r="AHQ28" s="13"/>
      <c r="AHR28" s="13"/>
      <c r="AHS28" s="13"/>
      <c r="AHT28" s="13"/>
      <c r="AHU28" s="13"/>
      <c r="AHV28" s="13"/>
      <c r="AHW28" s="13"/>
      <c r="AHX28" s="13"/>
      <c r="AHY28" s="13"/>
      <c r="AHZ28" s="13"/>
      <c r="AIA28" s="13"/>
      <c r="AIB28" s="13"/>
      <c r="AIC28" s="13"/>
      <c r="AID28" s="13"/>
      <c r="AIE28" s="13"/>
      <c r="AIF28" s="13"/>
      <c r="AIG28" s="13"/>
      <c r="AIH28" s="13"/>
      <c r="AII28" s="13"/>
      <c r="AIJ28" s="13"/>
      <c r="AIK28" s="13"/>
      <c r="AIL28" s="13"/>
      <c r="AIM28" s="13"/>
      <c r="AIN28" s="13"/>
      <c r="AIO28" s="13"/>
      <c r="AIP28" s="13"/>
      <c r="AIQ28" s="13"/>
      <c r="AIR28" s="13"/>
      <c r="AIS28" s="13"/>
      <c r="AIT28" s="13"/>
      <c r="AIU28" s="13"/>
      <c r="AIV28" s="13"/>
      <c r="AIW28" s="13"/>
      <c r="AIX28" s="13"/>
      <c r="AIY28" s="13"/>
      <c r="AIZ28" s="13"/>
      <c r="AJA28" s="13"/>
      <c r="AJB28" s="13"/>
      <c r="AJC28" s="13"/>
      <c r="AJD28" s="13"/>
      <c r="AJE28" s="13"/>
      <c r="AJF28" s="13"/>
      <c r="AJG28" s="13"/>
      <c r="AJH28" s="13"/>
      <c r="AJI28" s="13"/>
      <c r="AJJ28" s="13"/>
      <c r="AJK28" s="13"/>
      <c r="AJL28" s="13"/>
      <c r="AJM28" s="13"/>
      <c r="AJN28" s="13"/>
      <c r="AJO28" s="13"/>
      <c r="AJP28" s="13"/>
      <c r="AJQ28" s="13"/>
      <c r="AJR28" s="13"/>
      <c r="AJS28" s="13"/>
      <c r="AJT28" s="13"/>
      <c r="AJU28" s="13"/>
      <c r="AJV28" s="13"/>
      <c r="AJW28" s="13"/>
      <c r="AJX28" s="13"/>
      <c r="AJY28" s="13"/>
      <c r="AJZ28" s="13"/>
      <c r="AKA28" s="13"/>
      <c r="AKB28" s="13"/>
      <c r="AKC28" s="13"/>
      <c r="AKD28" s="13"/>
      <c r="AKE28" s="13"/>
      <c r="AKF28" s="13"/>
      <c r="AKG28" s="13"/>
      <c r="AKH28" s="13"/>
      <c r="AKI28" s="13"/>
      <c r="AKJ28" s="13"/>
      <c r="AKK28" s="13"/>
      <c r="AKL28" s="13"/>
      <c r="AKM28" s="13"/>
      <c r="AKN28" s="13"/>
      <c r="AKO28" s="13"/>
      <c r="AKP28" s="13"/>
      <c r="AKQ28" s="13"/>
      <c r="AKR28" s="13"/>
      <c r="AKS28" s="13"/>
      <c r="AKT28" s="13"/>
      <c r="AKU28" s="13"/>
      <c r="AKV28" s="13"/>
      <c r="AKW28" s="13"/>
      <c r="AKX28" s="13"/>
      <c r="AKY28" s="13"/>
      <c r="AKZ28" s="13"/>
      <c r="ALA28" s="13"/>
      <c r="ALB28" s="13"/>
      <c r="ALC28" s="13"/>
      <c r="ALD28" s="13"/>
      <c r="ALE28" s="13"/>
      <c r="ALF28" s="13"/>
      <c r="ALG28" s="13"/>
      <c r="ALH28" s="13"/>
      <c r="ALI28" s="13"/>
      <c r="ALJ28" s="13"/>
      <c r="ALK28" s="13"/>
      <c r="ALL28" s="13"/>
      <c r="ALM28" s="13"/>
      <c r="ALN28" s="13"/>
      <c r="ALO28" s="13"/>
    </row>
    <row r="29" spans="1:1012" x14ac:dyDescent="0.35">
      <c r="A29" s="149" t="s">
        <v>42</v>
      </c>
      <c r="E29" s="128" t="e">
        <f>E28+E23</f>
        <v>#REF!</v>
      </c>
      <c r="F29" s="144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13"/>
      <c r="HQ29" s="13"/>
      <c r="HR29" s="13"/>
      <c r="HS29" s="13"/>
      <c r="HT29" s="13"/>
      <c r="HU29" s="13"/>
      <c r="HV29" s="13"/>
      <c r="HW29" s="13"/>
      <c r="HX29" s="13"/>
      <c r="HY29" s="13"/>
      <c r="HZ29" s="13"/>
      <c r="IA29" s="13"/>
      <c r="IB29" s="13"/>
      <c r="IC29" s="13"/>
      <c r="ID29" s="13"/>
      <c r="IE29" s="13"/>
      <c r="IF29" s="13"/>
      <c r="IG29" s="13"/>
      <c r="IH29" s="13"/>
      <c r="II29" s="13"/>
      <c r="IJ29" s="13"/>
      <c r="IK29" s="13"/>
      <c r="IL29" s="13"/>
      <c r="IM29" s="13"/>
      <c r="IN29" s="13"/>
      <c r="IO29" s="13"/>
      <c r="IP29" s="13"/>
      <c r="IQ29" s="13"/>
      <c r="IR29" s="13"/>
      <c r="IS29" s="13"/>
      <c r="IT29" s="13"/>
      <c r="IU29" s="13"/>
      <c r="IV29" s="13"/>
      <c r="IW29" s="13"/>
      <c r="IX29" s="13"/>
      <c r="IY29" s="13"/>
      <c r="IZ29" s="13"/>
      <c r="JA29" s="13"/>
      <c r="JB29" s="13"/>
      <c r="JC29" s="13"/>
      <c r="JD29" s="13"/>
      <c r="JE29" s="13"/>
      <c r="JF29" s="13"/>
      <c r="JG29" s="13"/>
      <c r="JH29" s="13"/>
      <c r="JI29" s="13"/>
      <c r="JJ29" s="13"/>
      <c r="JK29" s="13"/>
      <c r="JL29" s="13"/>
      <c r="JM29" s="13"/>
      <c r="JN29" s="13"/>
      <c r="JO29" s="13"/>
      <c r="JP29" s="13"/>
      <c r="JQ29" s="13"/>
      <c r="JR29" s="13"/>
      <c r="JS29" s="13"/>
      <c r="JT29" s="13"/>
      <c r="JU29" s="13"/>
      <c r="JV29" s="13"/>
      <c r="JW29" s="13"/>
      <c r="JX29" s="13"/>
      <c r="JY29" s="13"/>
      <c r="JZ29" s="13"/>
      <c r="KA29" s="13"/>
      <c r="KB29" s="13"/>
      <c r="KC29" s="13"/>
      <c r="KD29" s="13"/>
      <c r="KE29" s="13"/>
      <c r="KF29" s="13"/>
      <c r="KG29" s="13"/>
      <c r="KH29" s="13"/>
      <c r="KI29" s="13"/>
      <c r="KJ29" s="13"/>
      <c r="KK29" s="13"/>
      <c r="KL29" s="13"/>
      <c r="KM29" s="13"/>
      <c r="KN29" s="13"/>
      <c r="KO29" s="13"/>
      <c r="KP29" s="13"/>
      <c r="KQ29" s="13"/>
      <c r="KR29" s="13"/>
      <c r="KS29" s="13"/>
      <c r="KT29" s="13"/>
      <c r="KU29" s="13"/>
      <c r="KV29" s="13"/>
      <c r="KW29" s="13"/>
      <c r="KX29" s="13"/>
      <c r="KY29" s="13"/>
      <c r="KZ29" s="13"/>
      <c r="LA29" s="13"/>
      <c r="LB29" s="13"/>
      <c r="LC29" s="13"/>
      <c r="LD29" s="13"/>
      <c r="LE29" s="13"/>
      <c r="LF29" s="13"/>
      <c r="LG29" s="13"/>
      <c r="LH29" s="13"/>
      <c r="LI29" s="13"/>
      <c r="LJ29" s="13"/>
      <c r="LK29" s="13"/>
      <c r="LL29" s="13"/>
      <c r="LM29" s="13"/>
      <c r="LN29" s="13"/>
      <c r="LO29" s="13"/>
      <c r="LP29" s="13"/>
      <c r="LQ29" s="13"/>
      <c r="LR29" s="13"/>
      <c r="LS29" s="13"/>
      <c r="LT29" s="13"/>
      <c r="LU29" s="13"/>
      <c r="LV29" s="13"/>
      <c r="LW29" s="13"/>
      <c r="LX29" s="13"/>
      <c r="LY29" s="13"/>
      <c r="LZ29" s="13"/>
      <c r="MA29" s="13"/>
      <c r="MB29" s="13"/>
      <c r="MC29" s="13"/>
      <c r="MD29" s="13"/>
      <c r="ME29" s="13"/>
      <c r="MF29" s="13"/>
      <c r="MG29" s="13"/>
      <c r="MH29" s="13"/>
      <c r="MI29" s="13"/>
      <c r="MJ29" s="13"/>
      <c r="MK29" s="13"/>
      <c r="ML29" s="13"/>
      <c r="MM29" s="13"/>
      <c r="MN29" s="13"/>
      <c r="MO29" s="13"/>
      <c r="MP29" s="13"/>
      <c r="MQ29" s="13"/>
      <c r="MR29" s="13"/>
      <c r="MS29" s="13"/>
      <c r="MT29" s="13"/>
      <c r="MU29" s="13"/>
      <c r="MV29" s="13"/>
      <c r="MW29" s="13"/>
      <c r="MX29" s="13"/>
      <c r="MY29" s="13"/>
      <c r="MZ29" s="13"/>
      <c r="NA29" s="13"/>
      <c r="NB29" s="13"/>
      <c r="NC29" s="13"/>
      <c r="ND29" s="13"/>
      <c r="NE29" s="13"/>
      <c r="NF29" s="13"/>
      <c r="NG29" s="13"/>
      <c r="NH29" s="13"/>
      <c r="NI29" s="13"/>
      <c r="NJ29" s="13"/>
      <c r="NK29" s="13"/>
      <c r="NL29" s="13"/>
      <c r="NM29" s="13"/>
      <c r="NN29" s="13"/>
      <c r="NO29" s="13"/>
      <c r="NP29" s="13"/>
      <c r="NQ29" s="13"/>
      <c r="NR29" s="13"/>
      <c r="NS29" s="13"/>
      <c r="NT29" s="13"/>
      <c r="NU29" s="13"/>
      <c r="NV29" s="13"/>
      <c r="NW29" s="13"/>
      <c r="NX29" s="13"/>
      <c r="NY29" s="13"/>
      <c r="NZ29" s="13"/>
      <c r="OA29" s="13"/>
      <c r="OB29" s="13"/>
      <c r="OC29" s="13"/>
      <c r="OD29" s="13"/>
      <c r="OE29" s="13"/>
      <c r="OF29" s="13"/>
      <c r="OG29" s="13"/>
      <c r="OH29" s="13"/>
      <c r="OI29" s="13"/>
      <c r="OJ29" s="13"/>
      <c r="OK29" s="13"/>
      <c r="OL29" s="13"/>
      <c r="OM29" s="13"/>
      <c r="ON29" s="13"/>
      <c r="OO29" s="13"/>
      <c r="OP29" s="13"/>
      <c r="OQ29" s="13"/>
      <c r="OR29" s="13"/>
      <c r="OS29" s="13"/>
      <c r="OT29" s="13"/>
      <c r="OU29" s="13"/>
      <c r="OV29" s="13"/>
      <c r="OW29" s="13"/>
      <c r="OX29" s="13"/>
      <c r="OY29" s="13"/>
      <c r="OZ29" s="13"/>
      <c r="PA29" s="13"/>
      <c r="PB29" s="13"/>
      <c r="PC29" s="13"/>
      <c r="PD29" s="13"/>
      <c r="PE29" s="13"/>
      <c r="PF29" s="13"/>
      <c r="PG29" s="13"/>
      <c r="PH29" s="13"/>
      <c r="PI29" s="13"/>
      <c r="PJ29" s="13"/>
      <c r="PK29" s="13"/>
      <c r="PL29" s="13"/>
      <c r="PM29" s="13"/>
      <c r="PN29" s="13"/>
      <c r="PO29" s="13"/>
      <c r="PP29" s="13"/>
      <c r="PQ29" s="13"/>
      <c r="PR29" s="13"/>
      <c r="PS29" s="13"/>
      <c r="PT29" s="13"/>
      <c r="PU29" s="13"/>
      <c r="PV29" s="13"/>
      <c r="PW29" s="13"/>
      <c r="PX29" s="13"/>
      <c r="PY29" s="13"/>
      <c r="PZ29" s="13"/>
      <c r="QA29" s="13"/>
      <c r="QB29" s="13"/>
      <c r="QC29" s="13"/>
      <c r="QD29" s="13"/>
      <c r="QE29" s="13"/>
      <c r="QF29" s="13"/>
      <c r="QG29" s="13"/>
      <c r="QH29" s="13"/>
      <c r="QI29" s="13"/>
      <c r="QJ29" s="13"/>
      <c r="QK29" s="13"/>
      <c r="QL29" s="13"/>
      <c r="QM29" s="13"/>
      <c r="QN29" s="13"/>
      <c r="QO29" s="13"/>
      <c r="QP29" s="13"/>
      <c r="QQ29" s="13"/>
      <c r="QR29" s="13"/>
      <c r="QS29" s="13"/>
      <c r="QT29" s="13"/>
      <c r="QU29" s="13"/>
      <c r="QV29" s="13"/>
      <c r="QW29" s="13"/>
      <c r="QX29" s="13"/>
      <c r="QY29" s="13"/>
      <c r="QZ29" s="13"/>
      <c r="RA29" s="13"/>
      <c r="RB29" s="13"/>
      <c r="RC29" s="13"/>
      <c r="RD29" s="13"/>
      <c r="RE29" s="13"/>
      <c r="RF29" s="13"/>
      <c r="RG29" s="13"/>
      <c r="RH29" s="13"/>
      <c r="RI29" s="13"/>
      <c r="RJ29" s="13"/>
      <c r="RK29" s="13"/>
      <c r="RL29" s="13"/>
      <c r="RM29" s="13"/>
      <c r="RN29" s="13"/>
      <c r="RO29" s="13"/>
      <c r="RP29" s="13"/>
      <c r="RQ29" s="13"/>
      <c r="RR29" s="13"/>
      <c r="RS29" s="13"/>
      <c r="RT29" s="13"/>
      <c r="RU29" s="13"/>
      <c r="RV29" s="13"/>
      <c r="RW29" s="13"/>
      <c r="RX29" s="13"/>
      <c r="RY29" s="13"/>
      <c r="RZ29" s="13"/>
      <c r="SA29" s="13"/>
      <c r="SB29" s="13"/>
      <c r="SC29" s="13"/>
      <c r="SD29" s="13"/>
      <c r="SE29" s="13"/>
      <c r="SF29" s="13"/>
      <c r="SG29" s="13"/>
      <c r="SH29" s="13"/>
      <c r="SI29" s="13"/>
      <c r="SJ29" s="13"/>
      <c r="SK29" s="13"/>
      <c r="SL29" s="13"/>
      <c r="SM29" s="13"/>
      <c r="SN29" s="13"/>
      <c r="SO29" s="13"/>
      <c r="SP29" s="13"/>
      <c r="SQ29" s="13"/>
      <c r="SR29" s="13"/>
      <c r="SS29" s="13"/>
      <c r="ST29" s="13"/>
      <c r="SU29" s="13"/>
      <c r="SV29" s="13"/>
      <c r="SW29" s="13"/>
      <c r="SX29" s="13"/>
      <c r="SY29" s="13"/>
      <c r="SZ29" s="13"/>
      <c r="TA29" s="13"/>
      <c r="TB29" s="13"/>
      <c r="TC29" s="13"/>
      <c r="TD29" s="13"/>
      <c r="TE29" s="13"/>
      <c r="TF29" s="13"/>
      <c r="TG29" s="13"/>
      <c r="TH29" s="13"/>
      <c r="TI29" s="13"/>
      <c r="TJ29" s="13"/>
      <c r="TK29" s="13"/>
      <c r="TL29" s="13"/>
      <c r="TM29" s="13"/>
      <c r="TN29" s="13"/>
      <c r="TO29" s="13"/>
      <c r="TP29" s="13"/>
      <c r="TQ29" s="13"/>
      <c r="TR29" s="13"/>
      <c r="TS29" s="13"/>
      <c r="TT29" s="13"/>
      <c r="TU29" s="13"/>
      <c r="TV29" s="13"/>
      <c r="TW29" s="13"/>
      <c r="TX29" s="13"/>
      <c r="TY29" s="13"/>
      <c r="TZ29" s="13"/>
      <c r="UA29" s="13"/>
      <c r="UB29" s="13"/>
      <c r="UC29" s="13"/>
      <c r="UD29" s="13"/>
      <c r="UE29" s="13"/>
      <c r="UF29" s="13"/>
      <c r="UG29" s="13"/>
      <c r="UH29" s="13"/>
      <c r="UI29" s="13"/>
      <c r="UJ29" s="13"/>
      <c r="UK29" s="13"/>
      <c r="UL29" s="13"/>
      <c r="UM29" s="13"/>
      <c r="UN29" s="13"/>
      <c r="UO29" s="13"/>
      <c r="UP29" s="13"/>
      <c r="UQ29" s="13"/>
      <c r="UR29" s="13"/>
      <c r="US29" s="13"/>
      <c r="UT29" s="13"/>
      <c r="UU29" s="13"/>
      <c r="UV29" s="13"/>
      <c r="UW29" s="13"/>
      <c r="UX29" s="13"/>
      <c r="UY29" s="13"/>
      <c r="UZ29" s="13"/>
      <c r="VA29" s="13"/>
      <c r="VB29" s="13"/>
      <c r="VC29" s="13"/>
      <c r="VD29" s="13"/>
      <c r="VE29" s="13"/>
      <c r="VF29" s="13"/>
      <c r="VG29" s="13"/>
      <c r="VH29" s="13"/>
      <c r="VI29" s="13"/>
      <c r="VJ29" s="13"/>
      <c r="VK29" s="13"/>
      <c r="VL29" s="13"/>
      <c r="VM29" s="13"/>
      <c r="VN29" s="13"/>
      <c r="VO29" s="13"/>
      <c r="VP29" s="13"/>
      <c r="VQ29" s="13"/>
      <c r="VR29" s="13"/>
      <c r="VS29" s="13"/>
      <c r="VT29" s="13"/>
      <c r="VU29" s="13"/>
      <c r="VV29" s="13"/>
      <c r="VW29" s="13"/>
      <c r="VX29" s="13"/>
      <c r="VY29" s="13"/>
      <c r="VZ29" s="13"/>
      <c r="WA29" s="13"/>
      <c r="WB29" s="13"/>
      <c r="WC29" s="13"/>
      <c r="WD29" s="13"/>
      <c r="WE29" s="13"/>
      <c r="WF29" s="13"/>
      <c r="WG29" s="13"/>
      <c r="WH29" s="13"/>
      <c r="WI29" s="13"/>
      <c r="WJ29" s="13"/>
      <c r="WK29" s="13"/>
      <c r="WL29" s="13"/>
      <c r="WM29" s="13"/>
      <c r="WN29" s="13"/>
      <c r="WO29" s="13"/>
      <c r="WP29" s="13"/>
      <c r="WQ29" s="13"/>
      <c r="WR29" s="13"/>
      <c r="WS29" s="13"/>
      <c r="WT29" s="13"/>
      <c r="WU29" s="13"/>
      <c r="WV29" s="13"/>
      <c r="WW29" s="13"/>
      <c r="WX29" s="13"/>
      <c r="WY29" s="13"/>
      <c r="WZ29" s="13"/>
      <c r="XA29" s="13"/>
      <c r="XB29" s="13"/>
      <c r="XC29" s="13"/>
      <c r="XD29" s="13"/>
      <c r="XE29" s="13"/>
      <c r="XF29" s="13"/>
      <c r="XG29" s="13"/>
      <c r="XH29" s="13"/>
      <c r="XI29" s="13"/>
      <c r="XJ29" s="13"/>
      <c r="XK29" s="13"/>
      <c r="XL29" s="13"/>
      <c r="XM29" s="13"/>
      <c r="XN29" s="13"/>
      <c r="XO29" s="13"/>
      <c r="XP29" s="13"/>
      <c r="XQ29" s="13"/>
      <c r="XR29" s="13"/>
      <c r="XS29" s="13"/>
      <c r="XT29" s="13"/>
      <c r="XU29" s="13"/>
      <c r="XV29" s="13"/>
      <c r="XW29" s="13"/>
      <c r="XX29" s="13"/>
      <c r="XY29" s="13"/>
      <c r="XZ29" s="13"/>
      <c r="YA29" s="13"/>
      <c r="YB29" s="13"/>
      <c r="YC29" s="13"/>
      <c r="YD29" s="13"/>
      <c r="YE29" s="13"/>
      <c r="YF29" s="13"/>
      <c r="YG29" s="13"/>
      <c r="YH29" s="13"/>
      <c r="YI29" s="13"/>
      <c r="YJ29" s="13"/>
      <c r="YK29" s="13"/>
      <c r="YL29" s="13"/>
      <c r="YM29" s="13"/>
      <c r="YN29" s="13"/>
      <c r="YO29" s="13"/>
      <c r="YP29" s="13"/>
      <c r="YQ29" s="13"/>
      <c r="YR29" s="13"/>
      <c r="YS29" s="13"/>
      <c r="YT29" s="13"/>
      <c r="YU29" s="13"/>
      <c r="YV29" s="13"/>
      <c r="YW29" s="13"/>
      <c r="YX29" s="13"/>
      <c r="YY29" s="13"/>
      <c r="YZ29" s="13"/>
      <c r="ZA29" s="13"/>
      <c r="ZB29" s="13"/>
      <c r="ZC29" s="13"/>
      <c r="ZD29" s="13"/>
      <c r="ZE29" s="13"/>
      <c r="ZF29" s="13"/>
      <c r="ZG29" s="13"/>
      <c r="ZH29" s="13"/>
      <c r="ZI29" s="13"/>
      <c r="ZJ29" s="13"/>
      <c r="ZK29" s="13"/>
      <c r="ZL29" s="13"/>
      <c r="ZM29" s="13"/>
      <c r="ZN29" s="13"/>
      <c r="ZO29" s="13"/>
      <c r="ZP29" s="13"/>
      <c r="ZQ29" s="13"/>
      <c r="ZR29" s="13"/>
      <c r="ZS29" s="13"/>
      <c r="ZT29" s="13"/>
      <c r="ZU29" s="13"/>
      <c r="ZV29" s="13"/>
      <c r="ZW29" s="13"/>
      <c r="ZX29" s="13"/>
      <c r="ZY29" s="13"/>
      <c r="ZZ29" s="13"/>
      <c r="AAA29" s="13"/>
      <c r="AAB29" s="13"/>
      <c r="AAC29" s="13"/>
      <c r="AAD29" s="13"/>
      <c r="AAE29" s="13"/>
      <c r="AAF29" s="13"/>
      <c r="AAG29" s="13"/>
      <c r="AAH29" s="13"/>
      <c r="AAI29" s="13"/>
      <c r="AAJ29" s="13"/>
      <c r="AAK29" s="13"/>
      <c r="AAL29" s="13"/>
      <c r="AAM29" s="13"/>
      <c r="AAN29" s="13"/>
      <c r="AAO29" s="13"/>
      <c r="AAP29" s="13"/>
      <c r="AAQ29" s="13"/>
      <c r="AAR29" s="13"/>
      <c r="AAS29" s="13"/>
      <c r="AAT29" s="13"/>
      <c r="AAU29" s="13"/>
      <c r="AAV29" s="13"/>
      <c r="AAW29" s="13"/>
      <c r="AAX29" s="13"/>
      <c r="AAY29" s="13"/>
      <c r="AAZ29" s="13"/>
      <c r="ABA29" s="13"/>
      <c r="ABB29" s="13"/>
      <c r="ABC29" s="13"/>
      <c r="ABD29" s="13"/>
      <c r="ABE29" s="13"/>
      <c r="ABF29" s="13"/>
      <c r="ABG29" s="13"/>
      <c r="ABH29" s="13"/>
      <c r="ABI29" s="13"/>
      <c r="ABJ29" s="13"/>
      <c r="ABK29" s="13"/>
      <c r="ABL29" s="13"/>
      <c r="ABM29" s="13"/>
      <c r="ABN29" s="13"/>
      <c r="ABO29" s="13"/>
      <c r="ABP29" s="13"/>
      <c r="ABQ29" s="13"/>
      <c r="ABR29" s="13"/>
      <c r="ABS29" s="13"/>
      <c r="ABT29" s="13"/>
      <c r="ABU29" s="13"/>
      <c r="ABV29" s="13"/>
      <c r="ABW29" s="13"/>
      <c r="ABX29" s="13"/>
      <c r="ABY29" s="13"/>
      <c r="ABZ29" s="13"/>
      <c r="ACA29" s="13"/>
      <c r="ACB29" s="13"/>
      <c r="ACC29" s="13"/>
      <c r="ACD29" s="13"/>
      <c r="ACE29" s="13"/>
      <c r="ACF29" s="13"/>
      <c r="ACG29" s="13"/>
      <c r="ACH29" s="13"/>
      <c r="ACI29" s="13"/>
      <c r="ACJ29" s="13"/>
      <c r="ACK29" s="13"/>
      <c r="ACL29" s="13"/>
      <c r="ACM29" s="13"/>
      <c r="ACN29" s="13"/>
      <c r="ACO29" s="13"/>
      <c r="ACP29" s="13"/>
      <c r="ACQ29" s="13"/>
      <c r="ACR29" s="13"/>
      <c r="ACS29" s="13"/>
      <c r="ACT29" s="13"/>
      <c r="ACU29" s="13"/>
      <c r="ACV29" s="13"/>
      <c r="ACW29" s="13"/>
      <c r="ACX29" s="13"/>
      <c r="ACY29" s="13"/>
      <c r="ACZ29" s="13"/>
      <c r="ADA29" s="13"/>
      <c r="ADB29" s="13"/>
      <c r="ADC29" s="13"/>
      <c r="ADD29" s="13"/>
      <c r="ADE29" s="13"/>
      <c r="ADF29" s="13"/>
      <c r="ADG29" s="13"/>
      <c r="ADH29" s="13"/>
      <c r="ADI29" s="13"/>
      <c r="ADJ29" s="13"/>
      <c r="ADK29" s="13"/>
      <c r="ADL29" s="13"/>
      <c r="ADM29" s="13"/>
      <c r="ADN29" s="13"/>
      <c r="ADO29" s="13"/>
      <c r="ADP29" s="13"/>
      <c r="ADQ29" s="13"/>
      <c r="ADR29" s="13"/>
      <c r="ADS29" s="13"/>
      <c r="ADT29" s="13"/>
      <c r="ADU29" s="13"/>
      <c r="ADV29" s="13"/>
      <c r="ADW29" s="13"/>
      <c r="ADX29" s="13"/>
      <c r="ADY29" s="13"/>
      <c r="ADZ29" s="13"/>
      <c r="AEA29" s="13"/>
      <c r="AEB29" s="13"/>
      <c r="AEC29" s="13"/>
      <c r="AED29" s="13"/>
      <c r="AEE29" s="13"/>
      <c r="AEF29" s="13"/>
      <c r="AEG29" s="13"/>
      <c r="AEH29" s="13"/>
      <c r="AEI29" s="13"/>
      <c r="AEJ29" s="13"/>
      <c r="AEK29" s="13"/>
      <c r="AEL29" s="13"/>
      <c r="AEM29" s="13"/>
      <c r="AEN29" s="13"/>
      <c r="AEO29" s="13"/>
      <c r="AEP29" s="13"/>
      <c r="AEQ29" s="13"/>
      <c r="AER29" s="13"/>
      <c r="AES29" s="13"/>
      <c r="AET29" s="13"/>
      <c r="AEU29" s="13"/>
      <c r="AEV29" s="13"/>
      <c r="AEW29" s="13"/>
      <c r="AEX29" s="13"/>
      <c r="AEY29" s="13"/>
      <c r="AEZ29" s="13"/>
      <c r="AFA29" s="13"/>
      <c r="AFB29" s="13"/>
      <c r="AFC29" s="13"/>
      <c r="AFD29" s="13"/>
      <c r="AFE29" s="13"/>
      <c r="AFF29" s="13"/>
      <c r="AFG29" s="13"/>
      <c r="AFH29" s="13"/>
      <c r="AFI29" s="13"/>
      <c r="AFJ29" s="13"/>
      <c r="AFK29" s="13"/>
      <c r="AFL29" s="13"/>
      <c r="AFM29" s="13"/>
      <c r="AFN29" s="13"/>
      <c r="AFO29" s="13"/>
      <c r="AFP29" s="13"/>
      <c r="AFQ29" s="13"/>
      <c r="AFR29" s="13"/>
      <c r="AFS29" s="13"/>
      <c r="AFT29" s="13"/>
      <c r="AFU29" s="13"/>
      <c r="AFV29" s="13"/>
      <c r="AFW29" s="13"/>
      <c r="AFX29" s="13"/>
      <c r="AFY29" s="13"/>
      <c r="AFZ29" s="13"/>
      <c r="AGA29" s="13"/>
      <c r="AGB29" s="13"/>
      <c r="AGC29" s="13"/>
      <c r="AGD29" s="13"/>
      <c r="AGE29" s="13"/>
      <c r="AGF29" s="13"/>
      <c r="AGG29" s="13"/>
      <c r="AGH29" s="13"/>
      <c r="AGI29" s="13"/>
      <c r="AGJ29" s="13"/>
      <c r="AGK29" s="13"/>
      <c r="AGL29" s="13"/>
      <c r="AGM29" s="13"/>
      <c r="AGN29" s="13"/>
      <c r="AGO29" s="13"/>
      <c r="AGP29" s="13"/>
      <c r="AGQ29" s="13"/>
      <c r="AGR29" s="13"/>
      <c r="AGS29" s="13"/>
      <c r="AGT29" s="13"/>
      <c r="AGU29" s="13"/>
      <c r="AGV29" s="13"/>
      <c r="AGW29" s="13"/>
      <c r="AGX29" s="13"/>
      <c r="AGY29" s="13"/>
      <c r="AGZ29" s="13"/>
      <c r="AHA29" s="13"/>
      <c r="AHB29" s="13"/>
      <c r="AHC29" s="13"/>
      <c r="AHD29" s="13"/>
      <c r="AHE29" s="13"/>
      <c r="AHF29" s="13"/>
      <c r="AHG29" s="13"/>
      <c r="AHH29" s="13"/>
      <c r="AHI29" s="13"/>
      <c r="AHJ29" s="13"/>
      <c r="AHK29" s="13"/>
      <c r="AHL29" s="13"/>
      <c r="AHM29" s="13"/>
      <c r="AHN29" s="13"/>
      <c r="AHO29" s="13"/>
      <c r="AHP29" s="13"/>
      <c r="AHQ29" s="13"/>
      <c r="AHR29" s="13"/>
      <c r="AHS29" s="13"/>
      <c r="AHT29" s="13"/>
      <c r="AHU29" s="13"/>
      <c r="AHV29" s="13"/>
      <c r="AHW29" s="13"/>
      <c r="AHX29" s="13"/>
      <c r="AHY29" s="13"/>
      <c r="AHZ29" s="13"/>
      <c r="AIA29" s="13"/>
      <c r="AIB29" s="13"/>
      <c r="AIC29" s="13"/>
      <c r="AID29" s="13"/>
      <c r="AIE29" s="13"/>
      <c r="AIF29" s="13"/>
      <c r="AIG29" s="13"/>
      <c r="AIH29" s="13"/>
      <c r="AII29" s="13"/>
      <c r="AIJ29" s="13"/>
      <c r="AIK29" s="13"/>
      <c r="AIL29" s="13"/>
      <c r="AIM29" s="13"/>
      <c r="AIN29" s="13"/>
      <c r="AIO29" s="13"/>
      <c r="AIP29" s="13"/>
      <c r="AIQ29" s="13"/>
      <c r="AIR29" s="13"/>
      <c r="AIS29" s="13"/>
      <c r="AIT29" s="13"/>
      <c r="AIU29" s="13"/>
      <c r="AIV29" s="13"/>
      <c r="AIW29" s="13"/>
      <c r="AIX29" s="13"/>
      <c r="AIY29" s="13"/>
      <c r="AIZ29" s="13"/>
      <c r="AJA29" s="13"/>
      <c r="AJB29" s="13"/>
      <c r="AJC29" s="13"/>
      <c r="AJD29" s="13"/>
      <c r="AJE29" s="13"/>
      <c r="AJF29" s="13"/>
      <c r="AJG29" s="13"/>
      <c r="AJH29" s="13"/>
      <c r="AJI29" s="13"/>
      <c r="AJJ29" s="13"/>
      <c r="AJK29" s="13"/>
      <c r="AJL29" s="13"/>
      <c r="AJM29" s="13"/>
      <c r="AJN29" s="13"/>
      <c r="AJO29" s="13"/>
      <c r="AJP29" s="13"/>
      <c r="AJQ29" s="13"/>
      <c r="AJR29" s="13"/>
      <c r="AJS29" s="13"/>
      <c r="AJT29" s="13"/>
      <c r="AJU29" s="13"/>
      <c r="AJV29" s="13"/>
      <c r="AJW29" s="13"/>
      <c r="AJX29" s="13"/>
      <c r="AJY29" s="13"/>
      <c r="AJZ29" s="13"/>
      <c r="AKA29" s="13"/>
      <c r="AKB29" s="13"/>
      <c r="AKC29" s="13"/>
      <c r="AKD29" s="13"/>
      <c r="AKE29" s="13"/>
      <c r="AKF29" s="13"/>
      <c r="AKG29" s="13"/>
      <c r="AKH29" s="13"/>
      <c r="AKI29" s="13"/>
      <c r="AKJ29" s="13"/>
      <c r="AKK29" s="13"/>
      <c r="AKL29" s="13"/>
      <c r="AKM29" s="13"/>
      <c r="AKN29" s="13"/>
      <c r="AKO29" s="13"/>
      <c r="AKP29" s="13"/>
      <c r="AKQ29" s="13"/>
      <c r="AKR29" s="13"/>
      <c r="AKS29" s="13"/>
      <c r="AKT29" s="13"/>
      <c r="AKU29" s="13"/>
      <c r="AKV29" s="13"/>
      <c r="AKW29" s="13"/>
      <c r="AKX29" s="13"/>
      <c r="AKY29" s="13"/>
      <c r="AKZ29" s="13"/>
      <c r="ALA29" s="13"/>
      <c r="ALB29" s="13"/>
      <c r="ALC29" s="13"/>
      <c r="ALD29" s="13"/>
      <c r="ALE29" s="13"/>
      <c r="ALF29" s="13"/>
      <c r="ALG29" s="13"/>
      <c r="ALH29" s="13"/>
      <c r="ALI29" s="13"/>
      <c r="ALJ29" s="13"/>
      <c r="ALK29" s="13"/>
      <c r="ALL29" s="13"/>
      <c r="ALM29" s="13"/>
      <c r="ALN29" s="13"/>
      <c r="ALO29" s="13"/>
    </row>
    <row r="30" spans="1:1012" ht="15" thickBot="1" x14ac:dyDescent="0.4">
      <c r="A30" s="1" t="s">
        <v>9</v>
      </c>
      <c r="B30" s="1"/>
      <c r="E30" s="127" t="e">
        <f>+E21+E29</f>
        <v>#REF!</v>
      </c>
      <c r="F30" s="144"/>
      <c r="G30" s="77" t="e">
        <f>E15-E30</f>
        <v>#REF!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IX30" s="13"/>
      <c r="IY30" s="13"/>
      <c r="IZ30" s="13"/>
      <c r="JA30" s="13"/>
      <c r="JB30" s="13"/>
      <c r="JC30" s="13"/>
      <c r="JD30" s="13"/>
      <c r="JE30" s="13"/>
      <c r="JF30" s="13"/>
      <c r="JG30" s="13"/>
      <c r="JH30" s="1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KV30" s="13"/>
      <c r="KW30" s="13"/>
      <c r="KX30" s="13"/>
      <c r="KY30" s="13"/>
      <c r="KZ30" s="13"/>
      <c r="LA30" s="13"/>
      <c r="LB30" s="13"/>
      <c r="LC30" s="13"/>
      <c r="LD30" s="13"/>
      <c r="LE30" s="13"/>
      <c r="LF30" s="13"/>
      <c r="LG30" s="13"/>
      <c r="LH30" s="13"/>
      <c r="LI30" s="13"/>
      <c r="LJ30" s="13"/>
      <c r="LK30" s="13"/>
      <c r="LL30" s="13"/>
      <c r="LM30" s="13"/>
      <c r="LN30" s="13"/>
      <c r="LO30" s="13"/>
      <c r="LP30" s="13"/>
      <c r="LQ30" s="13"/>
      <c r="LR30" s="13"/>
      <c r="LS30" s="13"/>
      <c r="LT30" s="13"/>
      <c r="LU30" s="13"/>
      <c r="LV30" s="13"/>
      <c r="LW30" s="13"/>
      <c r="LX30" s="13"/>
      <c r="LY30" s="13"/>
      <c r="LZ30" s="13"/>
      <c r="MA30" s="13"/>
      <c r="MB30" s="13"/>
      <c r="MC30" s="13"/>
      <c r="MD30" s="13"/>
      <c r="ME30" s="13"/>
      <c r="MF30" s="13"/>
      <c r="MG30" s="13"/>
      <c r="MH30" s="13"/>
      <c r="MI30" s="13"/>
      <c r="MJ30" s="13"/>
      <c r="MK30" s="13"/>
      <c r="ML30" s="13"/>
      <c r="MM30" s="13"/>
      <c r="MN30" s="13"/>
      <c r="MO30" s="13"/>
      <c r="MP30" s="13"/>
      <c r="MQ30" s="13"/>
      <c r="MR30" s="13"/>
      <c r="MS30" s="13"/>
      <c r="MT30" s="13"/>
      <c r="MU30" s="13"/>
      <c r="MV30" s="13"/>
      <c r="MW30" s="13"/>
      <c r="MX30" s="13"/>
      <c r="MY30" s="13"/>
      <c r="MZ30" s="13"/>
      <c r="NA30" s="13"/>
      <c r="NB30" s="13"/>
      <c r="NC30" s="13"/>
      <c r="ND30" s="13"/>
      <c r="NE30" s="13"/>
      <c r="NF30" s="13"/>
      <c r="NG30" s="13"/>
      <c r="NH30" s="13"/>
      <c r="NI30" s="13"/>
      <c r="NJ30" s="13"/>
      <c r="NK30" s="13"/>
      <c r="NL30" s="13"/>
      <c r="NM30" s="13"/>
      <c r="NN30" s="13"/>
      <c r="NO30" s="13"/>
      <c r="NP30" s="13"/>
      <c r="NQ30" s="13"/>
      <c r="NR30" s="13"/>
      <c r="NS30" s="13"/>
      <c r="NT30" s="13"/>
      <c r="NU30" s="13"/>
      <c r="NV30" s="13"/>
      <c r="NW30" s="13"/>
      <c r="NX30" s="13"/>
      <c r="NY30" s="13"/>
      <c r="NZ30" s="13"/>
      <c r="OA30" s="13"/>
      <c r="OB30" s="13"/>
      <c r="OC30" s="13"/>
      <c r="OD30" s="13"/>
      <c r="OE30" s="13"/>
      <c r="OF30" s="13"/>
      <c r="OG30" s="13"/>
      <c r="OH30" s="13"/>
      <c r="OI30" s="13"/>
      <c r="OJ30" s="13"/>
      <c r="OK30" s="13"/>
      <c r="OL30" s="13"/>
      <c r="OM30" s="13"/>
      <c r="ON30" s="13"/>
      <c r="OO30" s="13"/>
      <c r="OP30" s="13"/>
      <c r="OQ30" s="13"/>
      <c r="OR30" s="13"/>
      <c r="OS30" s="13"/>
      <c r="OT30" s="13"/>
      <c r="OU30" s="13"/>
      <c r="OV30" s="13"/>
      <c r="OW30" s="13"/>
      <c r="OX30" s="13"/>
      <c r="OY30" s="13"/>
      <c r="OZ30" s="13"/>
      <c r="PA30" s="13"/>
      <c r="PB30" s="13"/>
      <c r="PC30" s="13"/>
      <c r="PD30" s="13"/>
      <c r="PE30" s="13"/>
      <c r="PF30" s="13"/>
      <c r="PG30" s="13"/>
      <c r="PH30" s="13"/>
      <c r="PI30" s="13"/>
      <c r="PJ30" s="13"/>
      <c r="PK30" s="13"/>
      <c r="PL30" s="13"/>
      <c r="PM30" s="13"/>
      <c r="PN30" s="13"/>
      <c r="PO30" s="13"/>
      <c r="PP30" s="13"/>
      <c r="PQ30" s="13"/>
      <c r="PR30" s="13"/>
      <c r="PS30" s="13"/>
      <c r="PT30" s="13"/>
      <c r="PU30" s="13"/>
      <c r="PV30" s="13"/>
      <c r="PW30" s="13"/>
      <c r="PX30" s="13"/>
      <c r="PY30" s="13"/>
      <c r="PZ30" s="13"/>
      <c r="QA30" s="13"/>
      <c r="QB30" s="13"/>
      <c r="QC30" s="13"/>
      <c r="QD30" s="13"/>
      <c r="QE30" s="13"/>
      <c r="QF30" s="13"/>
      <c r="QG30" s="13"/>
      <c r="QH30" s="13"/>
      <c r="QI30" s="13"/>
      <c r="QJ30" s="13"/>
      <c r="QK30" s="13"/>
      <c r="QL30" s="13"/>
      <c r="QM30" s="13"/>
      <c r="QN30" s="13"/>
      <c r="QO30" s="13"/>
      <c r="QP30" s="13"/>
      <c r="QQ30" s="13"/>
      <c r="QR30" s="13"/>
      <c r="QS30" s="13"/>
      <c r="QT30" s="13"/>
      <c r="QU30" s="13"/>
      <c r="QV30" s="13"/>
      <c r="QW30" s="13"/>
      <c r="QX30" s="13"/>
      <c r="QY30" s="13"/>
      <c r="QZ30" s="13"/>
      <c r="RA30" s="13"/>
      <c r="RB30" s="13"/>
      <c r="RC30" s="13"/>
      <c r="RD30" s="13"/>
      <c r="RE30" s="13"/>
      <c r="RF30" s="13"/>
      <c r="RG30" s="13"/>
      <c r="RH30" s="13"/>
      <c r="RI30" s="13"/>
      <c r="RJ30" s="13"/>
      <c r="RK30" s="13"/>
      <c r="RL30" s="13"/>
      <c r="RM30" s="13"/>
      <c r="RN30" s="13"/>
      <c r="RO30" s="13"/>
      <c r="RP30" s="13"/>
      <c r="RQ30" s="13"/>
      <c r="RR30" s="13"/>
      <c r="RS30" s="13"/>
      <c r="RT30" s="13"/>
      <c r="RU30" s="13"/>
      <c r="RV30" s="13"/>
      <c r="RW30" s="13"/>
      <c r="RX30" s="13"/>
      <c r="RY30" s="13"/>
      <c r="RZ30" s="13"/>
      <c r="SA30" s="13"/>
      <c r="SB30" s="13"/>
      <c r="SC30" s="13"/>
      <c r="SD30" s="13"/>
      <c r="SE30" s="13"/>
      <c r="SF30" s="13"/>
      <c r="SG30" s="13"/>
      <c r="SH30" s="13"/>
      <c r="SI30" s="13"/>
      <c r="SJ30" s="13"/>
      <c r="SK30" s="13"/>
      <c r="SL30" s="13"/>
      <c r="SM30" s="13"/>
      <c r="SN30" s="13"/>
      <c r="SO30" s="13"/>
      <c r="SP30" s="13"/>
      <c r="SQ30" s="13"/>
      <c r="SR30" s="13"/>
      <c r="SS30" s="13"/>
      <c r="ST30" s="13"/>
      <c r="SU30" s="13"/>
      <c r="SV30" s="13"/>
      <c r="SW30" s="13"/>
      <c r="SX30" s="13"/>
      <c r="SY30" s="13"/>
      <c r="SZ30" s="13"/>
      <c r="TA30" s="13"/>
      <c r="TB30" s="13"/>
      <c r="TC30" s="13"/>
      <c r="TD30" s="13"/>
      <c r="TE30" s="13"/>
      <c r="TF30" s="13"/>
      <c r="TG30" s="13"/>
      <c r="TH30" s="13"/>
      <c r="TI30" s="13"/>
      <c r="TJ30" s="13"/>
      <c r="TK30" s="13"/>
      <c r="TL30" s="13"/>
      <c r="TM30" s="13"/>
      <c r="TN30" s="13"/>
      <c r="TO30" s="13"/>
      <c r="TP30" s="13"/>
      <c r="TQ30" s="13"/>
      <c r="TR30" s="13"/>
      <c r="TS30" s="13"/>
      <c r="TT30" s="13"/>
      <c r="TU30" s="13"/>
      <c r="TV30" s="13"/>
      <c r="TW30" s="13"/>
      <c r="TX30" s="13"/>
      <c r="TY30" s="13"/>
      <c r="TZ30" s="13"/>
      <c r="UA30" s="13"/>
      <c r="UB30" s="13"/>
      <c r="UC30" s="13"/>
      <c r="UD30" s="13"/>
      <c r="UE30" s="13"/>
      <c r="UF30" s="13"/>
      <c r="UG30" s="13"/>
      <c r="UH30" s="13"/>
      <c r="UI30" s="13"/>
      <c r="UJ30" s="13"/>
      <c r="UK30" s="13"/>
      <c r="UL30" s="13"/>
      <c r="UM30" s="13"/>
      <c r="UN30" s="13"/>
      <c r="UO30" s="13"/>
      <c r="UP30" s="13"/>
      <c r="UQ30" s="13"/>
      <c r="UR30" s="13"/>
      <c r="US30" s="13"/>
      <c r="UT30" s="13"/>
      <c r="UU30" s="13"/>
      <c r="UV30" s="13"/>
      <c r="UW30" s="13"/>
      <c r="UX30" s="13"/>
      <c r="UY30" s="13"/>
      <c r="UZ30" s="13"/>
      <c r="VA30" s="13"/>
      <c r="VB30" s="13"/>
      <c r="VC30" s="13"/>
      <c r="VD30" s="13"/>
      <c r="VE30" s="13"/>
      <c r="VF30" s="13"/>
      <c r="VG30" s="13"/>
      <c r="VH30" s="13"/>
      <c r="VI30" s="13"/>
      <c r="VJ30" s="13"/>
      <c r="VK30" s="13"/>
      <c r="VL30" s="13"/>
      <c r="VM30" s="13"/>
      <c r="VN30" s="13"/>
      <c r="VO30" s="13"/>
      <c r="VP30" s="13"/>
      <c r="VQ30" s="13"/>
      <c r="VR30" s="13"/>
      <c r="VS30" s="13"/>
      <c r="VT30" s="13"/>
      <c r="VU30" s="13"/>
      <c r="VV30" s="13"/>
      <c r="VW30" s="13"/>
      <c r="VX30" s="13"/>
      <c r="VY30" s="13"/>
      <c r="VZ30" s="13"/>
      <c r="WA30" s="13"/>
      <c r="WB30" s="13"/>
      <c r="WC30" s="13"/>
      <c r="WD30" s="13"/>
      <c r="WE30" s="13"/>
      <c r="WF30" s="13"/>
      <c r="WG30" s="13"/>
      <c r="WH30" s="13"/>
      <c r="WI30" s="13"/>
      <c r="WJ30" s="13"/>
      <c r="WK30" s="13"/>
      <c r="WL30" s="13"/>
      <c r="WM30" s="13"/>
      <c r="WN30" s="13"/>
      <c r="WO30" s="13"/>
      <c r="WP30" s="13"/>
      <c r="WQ30" s="13"/>
      <c r="WR30" s="13"/>
      <c r="WS30" s="13"/>
      <c r="WT30" s="13"/>
      <c r="WU30" s="13"/>
      <c r="WV30" s="13"/>
      <c r="WW30" s="13"/>
      <c r="WX30" s="13"/>
      <c r="WY30" s="13"/>
      <c r="WZ30" s="13"/>
      <c r="XA30" s="13"/>
      <c r="XB30" s="13"/>
      <c r="XC30" s="13"/>
      <c r="XD30" s="13"/>
      <c r="XE30" s="13"/>
      <c r="XF30" s="13"/>
      <c r="XG30" s="13"/>
      <c r="XH30" s="13"/>
      <c r="XI30" s="13"/>
      <c r="XJ30" s="13"/>
      <c r="XK30" s="13"/>
      <c r="XL30" s="13"/>
      <c r="XM30" s="13"/>
      <c r="XN30" s="13"/>
      <c r="XO30" s="13"/>
      <c r="XP30" s="13"/>
      <c r="XQ30" s="13"/>
      <c r="XR30" s="13"/>
      <c r="XS30" s="13"/>
      <c r="XT30" s="13"/>
      <c r="XU30" s="13"/>
      <c r="XV30" s="13"/>
      <c r="XW30" s="13"/>
      <c r="XX30" s="13"/>
      <c r="XY30" s="13"/>
      <c r="XZ30" s="13"/>
      <c r="YA30" s="13"/>
      <c r="YB30" s="13"/>
      <c r="YC30" s="13"/>
      <c r="YD30" s="13"/>
      <c r="YE30" s="13"/>
      <c r="YF30" s="13"/>
      <c r="YG30" s="13"/>
      <c r="YH30" s="13"/>
      <c r="YI30" s="13"/>
      <c r="YJ30" s="13"/>
      <c r="YK30" s="13"/>
      <c r="YL30" s="13"/>
      <c r="YM30" s="13"/>
      <c r="YN30" s="13"/>
      <c r="YO30" s="13"/>
      <c r="YP30" s="13"/>
      <c r="YQ30" s="13"/>
      <c r="YR30" s="13"/>
      <c r="YS30" s="13"/>
      <c r="YT30" s="13"/>
      <c r="YU30" s="13"/>
      <c r="YV30" s="13"/>
      <c r="YW30" s="13"/>
      <c r="YX30" s="13"/>
      <c r="YY30" s="13"/>
      <c r="YZ30" s="13"/>
      <c r="ZA30" s="13"/>
      <c r="ZB30" s="13"/>
      <c r="ZC30" s="13"/>
      <c r="ZD30" s="13"/>
      <c r="ZE30" s="13"/>
      <c r="ZF30" s="13"/>
      <c r="ZG30" s="13"/>
      <c r="ZH30" s="13"/>
      <c r="ZI30" s="13"/>
      <c r="ZJ30" s="13"/>
      <c r="ZK30" s="13"/>
      <c r="ZL30" s="13"/>
      <c r="ZM30" s="13"/>
      <c r="ZN30" s="13"/>
      <c r="ZO30" s="13"/>
      <c r="ZP30" s="13"/>
      <c r="ZQ30" s="13"/>
      <c r="ZR30" s="13"/>
      <c r="ZS30" s="13"/>
      <c r="ZT30" s="13"/>
      <c r="ZU30" s="13"/>
      <c r="ZV30" s="13"/>
      <c r="ZW30" s="13"/>
      <c r="ZX30" s="13"/>
      <c r="ZY30" s="13"/>
      <c r="ZZ30" s="13"/>
      <c r="AAA30" s="13"/>
      <c r="AAB30" s="13"/>
      <c r="AAC30" s="13"/>
      <c r="AAD30" s="13"/>
      <c r="AAE30" s="13"/>
      <c r="AAF30" s="13"/>
      <c r="AAG30" s="13"/>
      <c r="AAH30" s="13"/>
      <c r="AAI30" s="13"/>
      <c r="AAJ30" s="13"/>
      <c r="AAK30" s="13"/>
      <c r="AAL30" s="13"/>
      <c r="AAM30" s="13"/>
      <c r="AAN30" s="13"/>
      <c r="AAO30" s="13"/>
      <c r="AAP30" s="13"/>
      <c r="AAQ30" s="13"/>
      <c r="AAR30" s="13"/>
      <c r="AAS30" s="13"/>
      <c r="AAT30" s="13"/>
      <c r="AAU30" s="13"/>
      <c r="AAV30" s="13"/>
      <c r="AAW30" s="13"/>
      <c r="AAX30" s="13"/>
      <c r="AAY30" s="13"/>
      <c r="AAZ30" s="13"/>
      <c r="ABA30" s="13"/>
      <c r="ABB30" s="13"/>
      <c r="ABC30" s="13"/>
      <c r="ABD30" s="13"/>
      <c r="ABE30" s="13"/>
      <c r="ABF30" s="13"/>
      <c r="ABG30" s="13"/>
      <c r="ABH30" s="13"/>
      <c r="ABI30" s="13"/>
      <c r="ABJ30" s="13"/>
      <c r="ABK30" s="13"/>
      <c r="ABL30" s="13"/>
      <c r="ABM30" s="13"/>
      <c r="ABN30" s="13"/>
      <c r="ABO30" s="13"/>
      <c r="ABP30" s="13"/>
      <c r="ABQ30" s="13"/>
      <c r="ABR30" s="13"/>
      <c r="ABS30" s="13"/>
      <c r="ABT30" s="13"/>
      <c r="ABU30" s="13"/>
      <c r="ABV30" s="13"/>
      <c r="ABW30" s="13"/>
      <c r="ABX30" s="13"/>
      <c r="ABY30" s="13"/>
      <c r="ABZ30" s="13"/>
      <c r="ACA30" s="13"/>
      <c r="ACB30" s="13"/>
      <c r="ACC30" s="13"/>
      <c r="ACD30" s="13"/>
      <c r="ACE30" s="13"/>
      <c r="ACF30" s="13"/>
      <c r="ACG30" s="13"/>
      <c r="ACH30" s="13"/>
      <c r="ACI30" s="13"/>
      <c r="ACJ30" s="13"/>
      <c r="ACK30" s="13"/>
      <c r="ACL30" s="13"/>
      <c r="ACM30" s="13"/>
      <c r="ACN30" s="13"/>
      <c r="ACO30" s="13"/>
      <c r="ACP30" s="13"/>
      <c r="ACQ30" s="13"/>
      <c r="ACR30" s="13"/>
      <c r="ACS30" s="13"/>
      <c r="ACT30" s="13"/>
      <c r="ACU30" s="13"/>
      <c r="ACV30" s="13"/>
      <c r="ACW30" s="13"/>
      <c r="ACX30" s="13"/>
      <c r="ACY30" s="13"/>
      <c r="ACZ30" s="13"/>
      <c r="ADA30" s="13"/>
      <c r="ADB30" s="13"/>
      <c r="ADC30" s="13"/>
      <c r="ADD30" s="13"/>
      <c r="ADE30" s="13"/>
      <c r="ADF30" s="13"/>
      <c r="ADG30" s="13"/>
      <c r="ADH30" s="13"/>
      <c r="ADI30" s="13"/>
      <c r="ADJ30" s="13"/>
      <c r="ADK30" s="13"/>
      <c r="ADL30" s="13"/>
      <c r="ADM30" s="13"/>
      <c r="ADN30" s="13"/>
      <c r="ADO30" s="13"/>
      <c r="ADP30" s="13"/>
      <c r="ADQ30" s="13"/>
      <c r="ADR30" s="13"/>
      <c r="ADS30" s="13"/>
      <c r="ADT30" s="13"/>
      <c r="ADU30" s="13"/>
      <c r="ADV30" s="13"/>
      <c r="ADW30" s="13"/>
      <c r="ADX30" s="13"/>
      <c r="ADY30" s="13"/>
      <c r="ADZ30" s="13"/>
      <c r="AEA30" s="13"/>
      <c r="AEB30" s="13"/>
      <c r="AEC30" s="13"/>
      <c r="AED30" s="13"/>
      <c r="AEE30" s="13"/>
      <c r="AEF30" s="13"/>
      <c r="AEG30" s="13"/>
      <c r="AEH30" s="13"/>
      <c r="AEI30" s="13"/>
      <c r="AEJ30" s="13"/>
      <c r="AEK30" s="13"/>
      <c r="AEL30" s="13"/>
      <c r="AEM30" s="13"/>
      <c r="AEN30" s="13"/>
      <c r="AEO30" s="13"/>
      <c r="AEP30" s="13"/>
      <c r="AEQ30" s="13"/>
      <c r="AER30" s="13"/>
      <c r="AES30" s="13"/>
      <c r="AET30" s="13"/>
      <c r="AEU30" s="13"/>
      <c r="AEV30" s="13"/>
      <c r="AEW30" s="13"/>
      <c r="AEX30" s="13"/>
      <c r="AEY30" s="13"/>
      <c r="AEZ30" s="13"/>
      <c r="AFA30" s="13"/>
      <c r="AFB30" s="13"/>
      <c r="AFC30" s="13"/>
      <c r="AFD30" s="13"/>
      <c r="AFE30" s="13"/>
      <c r="AFF30" s="13"/>
      <c r="AFG30" s="13"/>
      <c r="AFH30" s="13"/>
      <c r="AFI30" s="13"/>
      <c r="AFJ30" s="13"/>
      <c r="AFK30" s="13"/>
      <c r="AFL30" s="13"/>
      <c r="AFM30" s="13"/>
      <c r="AFN30" s="13"/>
      <c r="AFO30" s="13"/>
      <c r="AFP30" s="13"/>
      <c r="AFQ30" s="13"/>
      <c r="AFR30" s="13"/>
      <c r="AFS30" s="13"/>
      <c r="AFT30" s="13"/>
      <c r="AFU30" s="13"/>
      <c r="AFV30" s="13"/>
      <c r="AFW30" s="13"/>
      <c r="AFX30" s="13"/>
      <c r="AFY30" s="13"/>
      <c r="AFZ30" s="13"/>
      <c r="AGA30" s="13"/>
      <c r="AGB30" s="13"/>
      <c r="AGC30" s="13"/>
      <c r="AGD30" s="13"/>
      <c r="AGE30" s="13"/>
      <c r="AGF30" s="13"/>
      <c r="AGG30" s="13"/>
      <c r="AGH30" s="13"/>
      <c r="AGI30" s="13"/>
      <c r="AGJ30" s="13"/>
      <c r="AGK30" s="13"/>
      <c r="AGL30" s="13"/>
      <c r="AGM30" s="13"/>
      <c r="AGN30" s="13"/>
      <c r="AGO30" s="13"/>
      <c r="AGP30" s="13"/>
      <c r="AGQ30" s="13"/>
      <c r="AGR30" s="13"/>
      <c r="AGS30" s="13"/>
      <c r="AGT30" s="13"/>
      <c r="AGU30" s="13"/>
      <c r="AGV30" s="13"/>
      <c r="AGW30" s="13"/>
      <c r="AGX30" s="13"/>
      <c r="AGY30" s="13"/>
      <c r="AGZ30" s="13"/>
      <c r="AHA30" s="13"/>
      <c r="AHB30" s="13"/>
      <c r="AHC30" s="13"/>
      <c r="AHD30" s="13"/>
      <c r="AHE30" s="13"/>
      <c r="AHF30" s="13"/>
      <c r="AHG30" s="13"/>
      <c r="AHH30" s="13"/>
      <c r="AHI30" s="13"/>
      <c r="AHJ30" s="13"/>
      <c r="AHK30" s="13"/>
      <c r="AHL30" s="13"/>
      <c r="AHM30" s="13"/>
      <c r="AHN30" s="13"/>
      <c r="AHO30" s="13"/>
      <c r="AHP30" s="13"/>
      <c r="AHQ30" s="13"/>
      <c r="AHR30" s="13"/>
      <c r="AHS30" s="13"/>
      <c r="AHT30" s="13"/>
      <c r="AHU30" s="13"/>
      <c r="AHV30" s="13"/>
      <c r="AHW30" s="13"/>
      <c r="AHX30" s="13"/>
      <c r="AHY30" s="13"/>
      <c r="AHZ30" s="13"/>
      <c r="AIA30" s="13"/>
      <c r="AIB30" s="13"/>
      <c r="AIC30" s="13"/>
      <c r="AID30" s="13"/>
      <c r="AIE30" s="13"/>
      <c r="AIF30" s="13"/>
      <c r="AIG30" s="13"/>
      <c r="AIH30" s="13"/>
      <c r="AII30" s="13"/>
      <c r="AIJ30" s="13"/>
      <c r="AIK30" s="13"/>
      <c r="AIL30" s="13"/>
      <c r="AIM30" s="13"/>
      <c r="AIN30" s="13"/>
      <c r="AIO30" s="13"/>
      <c r="AIP30" s="13"/>
      <c r="AIQ30" s="13"/>
      <c r="AIR30" s="13"/>
      <c r="AIS30" s="13"/>
      <c r="AIT30" s="13"/>
      <c r="AIU30" s="13"/>
      <c r="AIV30" s="13"/>
      <c r="AIW30" s="13"/>
      <c r="AIX30" s="13"/>
      <c r="AIY30" s="13"/>
      <c r="AIZ30" s="13"/>
      <c r="AJA30" s="13"/>
      <c r="AJB30" s="13"/>
      <c r="AJC30" s="13"/>
      <c r="AJD30" s="13"/>
      <c r="AJE30" s="13"/>
      <c r="AJF30" s="13"/>
      <c r="AJG30" s="13"/>
      <c r="AJH30" s="13"/>
      <c r="AJI30" s="13"/>
      <c r="AJJ30" s="13"/>
      <c r="AJK30" s="13"/>
      <c r="AJL30" s="13"/>
      <c r="AJM30" s="13"/>
      <c r="AJN30" s="13"/>
      <c r="AJO30" s="13"/>
      <c r="AJP30" s="13"/>
      <c r="AJQ30" s="13"/>
      <c r="AJR30" s="13"/>
      <c r="AJS30" s="13"/>
      <c r="AJT30" s="13"/>
      <c r="AJU30" s="13"/>
      <c r="AJV30" s="13"/>
      <c r="AJW30" s="13"/>
      <c r="AJX30" s="13"/>
      <c r="AJY30" s="13"/>
      <c r="AJZ30" s="13"/>
      <c r="AKA30" s="13"/>
      <c r="AKB30" s="13"/>
      <c r="AKC30" s="13"/>
      <c r="AKD30" s="13"/>
      <c r="AKE30" s="13"/>
      <c r="AKF30" s="13"/>
      <c r="AKG30" s="13"/>
      <c r="AKH30" s="13"/>
      <c r="AKI30" s="13"/>
      <c r="AKJ30" s="13"/>
      <c r="AKK30" s="13"/>
      <c r="AKL30" s="13"/>
      <c r="AKM30" s="13"/>
      <c r="AKN30" s="13"/>
      <c r="AKO30" s="13"/>
      <c r="AKP30" s="13"/>
      <c r="AKQ30" s="13"/>
      <c r="AKR30" s="13"/>
      <c r="AKS30" s="13"/>
      <c r="AKT30" s="13"/>
      <c r="AKU30" s="13"/>
      <c r="AKV30" s="13"/>
      <c r="AKW30" s="13"/>
      <c r="AKX30" s="13"/>
      <c r="AKY30" s="13"/>
      <c r="AKZ30" s="13"/>
      <c r="ALA30" s="13"/>
      <c r="ALB30" s="13"/>
      <c r="ALC30" s="13"/>
      <c r="ALD30" s="13"/>
      <c r="ALE30" s="13"/>
      <c r="ALF30" s="13"/>
      <c r="ALG30" s="13"/>
      <c r="ALH30" s="13"/>
      <c r="ALI30" s="13"/>
      <c r="ALJ30" s="13"/>
      <c r="ALK30" s="13"/>
      <c r="ALL30" s="13"/>
      <c r="ALM30" s="13"/>
      <c r="ALN30" s="13"/>
      <c r="ALO30" s="13"/>
    </row>
    <row r="31" spans="1:1012" ht="15" thickTop="1" x14ac:dyDescent="0.35">
      <c r="E31" s="121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13"/>
      <c r="HS31" s="13"/>
      <c r="HT31" s="13"/>
      <c r="HU31" s="13"/>
      <c r="HV31" s="13"/>
      <c r="HW31" s="13"/>
      <c r="HX31" s="13"/>
      <c r="HY31" s="13"/>
      <c r="HZ31" s="13"/>
      <c r="IA31" s="13"/>
      <c r="IB31" s="13"/>
      <c r="IC31" s="13"/>
      <c r="ID31" s="13"/>
      <c r="IE31" s="13"/>
      <c r="IF31" s="13"/>
      <c r="IG31" s="13"/>
      <c r="IH31" s="13"/>
      <c r="II31" s="13"/>
      <c r="IJ31" s="13"/>
      <c r="IK31" s="13"/>
      <c r="IL31" s="13"/>
      <c r="IM31" s="13"/>
      <c r="IN31" s="13"/>
      <c r="IO31" s="13"/>
      <c r="IP31" s="13"/>
      <c r="IQ31" s="13"/>
      <c r="IR31" s="13"/>
      <c r="IS31" s="13"/>
      <c r="IT31" s="13"/>
      <c r="IU31" s="13"/>
      <c r="IV31" s="13"/>
      <c r="IW31" s="13"/>
      <c r="IX31" s="13"/>
      <c r="IY31" s="13"/>
      <c r="IZ31" s="13"/>
      <c r="JA31" s="13"/>
      <c r="JB31" s="13"/>
      <c r="JC31" s="13"/>
      <c r="JD31" s="13"/>
      <c r="JE31" s="13"/>
      <c r="JF31" s="13"/>
      <c r="JG31" s="13"/>
      <c r="JH31" s="13"/>
      <c r="JI31" s="13"/>
      <c r="JJ31" s="13"/>
      <c r="JK31" s="13"/>
      <c r="JL31" s="13"/>
      <c r="JM31" s="13"/>
      <c r="JN31" s="13"/>
      <c r="JO31" s="13"/>
      <c r="JP31" s="13"/>
      <c r="JQ31" s="13"/>
      <c r="JR31" s="13"/>
      <c r="JS31" s="13"/>
      <c r="JT31" s="13"/>
      <c r="JU31" s="13"/>
      <c r="JV31" s="13"/>
      <c r="JW31" s="13"/>
      <c r="JX31" s="13"/>
      <c r="JY31" s="13"/>
      <c r="JZ31" s="13"/>
      <c r="KA31" s="13"/>
      <c r="KB31" s="13"/>
      <c r="KC31" s="13"/>
      <c r="KD31" s="13"/>
      <c r="KE31" s="13"/>
      <c r="KF31" s="13"/>
      <c r="KG31" s="13"/>
      <c r="KH31" s="13"/>
      <c r="KI31" s="13"/>
      <c r="KJ31" s="13"/>
      <c r="KK31" s="13"/>
      <c r="KL31" s="13"/>
      <c r="KM31" s="13"/>
      <c r="KN31" s="13"/>
      <c r="KO31" s="13"/>
      <c r="KP31" s="13"/>
      <c r="KQ31" s="13"/>
      <c r="KR31" s="13"/>
      <c r="KS31" s="13"/>
      <c r="KT31" s="13"/>
      <c r="KU31" s="13"/>
      <c r="KV31" s="13"/>
      <c r="KW31" s="13"/>
      <c r="KX31" s="13"/>
      <c r="KY31" s="13"/>
      <c r="KZ31" s="13"/>
      <c r="LA31" s="13"/>
      <c r="LB31" s="13"/>
      <c r="LC31" s="13"/>
      <c r="LD31" s="13"/>
      <c r="LE31" s="13"/>
      <c r="LF31" s="13"/>
      <c r="LG31" s="13"/>
      <c r="LH31" s="13"/>
      <c r="LI31" s="13"/>
      <c r="LJ31" s="13"/>
      <c r="LK31" s="13"/>
      <c r="LL31" s="13"/>
      <c r="LM31" s="13"/>
      <c r="LN31" s="13"/>
      <c r="LO31" s="13"/>
      <c r="LP31" s="13"/>
      <c r="LQ31" s="13"/>
      <c r="LR31" s="13"/>
      <c r="LS31" s="13"/>
      <c r="LT31" s="13"/>
      <c r="LU31" s="13"/>
      <c r="LV31" s="13"/>
      <c r="LW31" s="13"/>
      <c r="LX31" s="13"/>
      <c r="LY31" s="13"/>
      <c r="LZ31" s="13"/>
      <c r="MA31" s="13"/>
      <c r="MB31" s="13"/>
      <c r="MC31" s="13"/>
      <c r="MD31" s="13"/>
      <c r="ME31" s="13"/>
      <c r="MF31" s="13"/>
      <c r="MG31" s="13"/>
      <c r="MH31" s="13"/>
      <c r="MI31" s="13"/>
      <c r="MJ31" s="13"/>
      <c r="MK31" s="13"/>
      <c r="ML31" s="13"/>
      <c r="MM31" s="13"/>
      <c r="MN31" s="13"/>
      <c r="MO31" s="13"/>
      <c r="MP31" s="13"/>
      <c r="MQ31" s="13"/>
      <c r="MR31" s="13"/>
      <c r="MS31" s="13"/>
      <c r="MT31" s="13"/>
      <c r="MU31" s="13"/>
      <c r="MV31" s="13"/>
      <c r="MW31" s="13"/>
      <c r="MX31" s="13"/>
      <c r="MY31" s="13"/>
      <c r="MZ31" s="13"/>
      <c r="NA31" s="13"/>
      <c r="NB31" s="13"/>
      <c r="NC31" s="13"/>
      <c r="ND31" s="13"/>
      <c r="NE31" s="13"/>
      <c r="NF31" s="13"/>
      <c r="NG31" s="13"/>
      <c r="NH31" s="13"/>
      <c r="NI31" s="13"/>
      <c r="NJ31" s="13"/>
      <c r="NK31" s="13"/>
      <c r="NL31" s="13"/>
      <c r="NM31" s="13"/>
      <c r="NN31" s="13"/>
      <c r="NO31" s="13"/>
      <c r="NP31" s="13"/>
      <c r="NQ31" s="13"/>
      <c r="NR31" s="13"/>
      <c r="NS31" s="13"/>
      <c r="NT31" s="13"/>
      <c r="NU31" s="13"/>
      <c r="NV31" s="13"/>
      <c r="NW31" s="13"/>
      <c r="NX31" s="13"/>
      <c r="NY31" s="13"/>
      <c r="NZ31" s="13"/>
      <c r="OA31" s="13"/>
      <c r="OB31" s="13"/>
      <c r="OC31" s="13"/>
      <c r="OD31" s="13"/>
      <c r="OE31" s="13"/>
      <c r="OF31" s="13"/>
      <c r="OG31" s="13"/>
      <c r="OH31" s="13"/>
      <c r="OI31" s="13"/>
      <c r="OJ31" s="13"/>
      <c r="OK31" s="13"/>
      <c r="OL31" s="13"/>
      <c r="OM31" s="13"/>
      <c r="ON31" s="13"/>
      <c r="OO31" s="13"/>
      <c r="OP31" s="13"/>
      <c r="OQ31" s="13"/>
      <c r="OR31" s="13"/>
      <c r="OS31" s="13"/>
      <c r="OT31" s="13"/>
      <c r="OU31" s="13"/>
      <c r="OV31" s="13"/>
      <c r="OW31" s="13"/>
      <c r="OX31" s="13"/>
      <c r="OY31" s="13"/>
      <c r="OZ31" s="13"/>
      <c r="PA31" s="13"/>
      <c r="PB31" s="13"/>
      <c r="PC31" s="13"/>
      <c r="PD31" s="13"/>
      <c r="PE31" s="13"/>
      <c r="PF31" s="13"/>
      <c r="PG31" s="13"/>
      <c r="PH31" s="13"/>
      <c r="PI31" s="13"/>
      <c r="PJ31" s="13"/>
      <c r="PK31" s="13"/>
      <c r="PL31" s="13"/>
      <c r="PM31" s="13"/>
      <c r="PN31" s="13"/>
      <c r="PO31" s="13"/>
      <c r="PP31" s="13"/>
      <c r="PQ31" s="13"/>
      <c r="PR31" s="13"/>
      <c r="PS31" s="13"/>
      <c r="PT31" s="13"/>
      <c r="PU31" s="13"/>
      <c r="PV31" s="13"/>
      <c r="PW31" s="13"/>
      <c r="PX31" s="13"/>
      <c r="PY31" s="13"/>
      <c r="PZ31" s="13"/>
      <c r="QA31" s="13"/>
      <c r="QB31" s="13"/>
      <c r="QC31" s="13"/>
      <c r="QD31" s="13"/>
      <c r="QE31" s="13"/>
      <c r="QF31" s="13"/>
      <c r="QG31" s="13"/>
      <c r="QH31" s="13"/>
      <c r="QI31" s="13"/>
      <c r="QJ31" s="13"/>
      <c r="QK31" s="13"/>
      <c r="QL31" s="13"/>
      <c r="QM31" s="13"/>
      <c r="QN31" s="13"/>
      <c r="QO31" s="13"/>
      <c r="QP31" s="13"/>
      <c r="QQ31" s="13"/>
      <c r="QR31" s="13"/>
      <c r="QS31" s="13"/>
      <c r="QT31" s="13"/>
      <c r="QU31" s="13"/>
      <c r="QV31" s="13"/>
      <c r="QW31" s="13"/>
      <c r="QX31" s="13"/>
      <c r="QY31" s="13"/>
      <c r="QZ31" s="13"/>
      <c r="RA31" s="13"/>
      <c r="RB31" s="13"/>
      <c r="RC31" s="13"/>
      <c r="RD31" s="13"/>
      <c r="RE31" s="13"/>
      <c r="RF31" s="13"/>
      <c r="RG31" s="13"/>
      <c r="RH31" s="13"/>
      <c r="RI31" s="13"/>
      <c r="RJ31" s="13"/>
      <c r="RK31" s="13"/>
      <c r="RL31" s="13"/>
      <c r="RM31" s="13"/>
      <c r="RN31" s="13"/>
      <c r="RO31" s="13"/>
      <c r="RP31" s="13"/>
      <c r="RQ31" s="13"/>
      <c r="RR31" s="13"/>
      <c r="RS31" s="13"/>
      <c r="RT31" s="13"/>
      <c r="RU31" s="13"/>
      <c r="RV31" s="13"/>
      <c r="RW31" s="13"/>
      <c r="RX31" s="13"/>
      <c r="RY31" s="13"/>
      <c r="RZ31" s="13"/>
      <c r="SA31" s="13"/>
      <c r="SB31" s="13"/>
      <c r="SC31" s="13"/>
      <c r="SD31" s="13"/>
      <c r="SE31" s="13"/>
      <c r="SF31" s="13"/>
      <c r="SG31" s="13"/>
      <c r="SH31" s="13"/>
      <c r="SI31" s="13"/>
      <c r="SJ31" s="13"/>
      <c r="SK31" s="13"/>
      <c r="SL31" s="13"/>
      <c r="SM31" s="13"/>
      <c r="SN31" s="13"/>
      <c r="SO31" s="13"/>
      <c r="SP31" s="13"/>
      <c r="SQ31" s="13"/>
      <c r="SR31" s="13"/>
      <c r="SS31" s="13"/>
      <c r="ST31" s="13"/>
      <c r="SU31" s="13"/>
      <c r="SV31" s="13"/>
      <c r="SW31" s="13"/>
      <c r="SX31" s="13"/>
      <c r="SY31" s="13"/>
      <c r="SZ31" s="13"/>
      <c r="TA31" s="13"/>
      <c r="TB31" s="13"/>
      <c r="TC31" s="13"/>
      <c r="TD31" s="13"/>
      <c r="TE31" s="13"/>
      <c r="TF31" s="13"/>
      <c r="TG31" s="13"/>
      <c r="TH31" s="13"/>
      <c r="TI31" s="13"/>
      <c r="TJ31" s="13"/>
      <c r="TK31" s="13"/>
      <c r="TL31" s="13"/>
      <c r="TM31" s="13"/>
      <c r="TN31" s="13"/>
      <c r="TO31" s="13"/>
      <c r="TP31" s="13"/>
      <c r="TQ31" s="13"/>
      <c r="TR31" s="13"/>
      <c r="TS31" s="13"/>
      <c r="TT31" s="13"/>
      <c r="TU31" s="13"/>
      <c r="TV31" s="13"/>
      <c r="TW31" s="13"/>
      <c r="TX31" s="13"/>
      <c r="TY31" s="13"/>
      <c r="TZ31" s="13"/>
      <c r="UA31" s="13"/>
      <c r="UB31" s="13"/>
      <c r="UC31" s="13"/>
      <c r="UD31" s="13"/>
      <c r="UE31" s="13"/>
      <c r="UF31" s="13"/>
      <c r="UG31" s="13"/>
      <c r="UH31" s="13"/>
      <c r="UI31" s="13"/>
      <c r="UJ31" s="13"/>
      <c r="UK31" s="13"/>
      <c r="UL31" s="13"/>
      <c r="UM31" s="13"/>
      <c r="UN31" s="13"/>
      <c r="UO31" s="13"/>
      <c r="UP31" s="13"/>
      <c r="UQ31" s="13"/>
      <c r="UR31" s="13"/>
      <c r="US31" s="13"/>
      <c r="UT31" s="13"/>
      <c r="UU31" s="13"/>
      <c r="UV31" s="13"/>
      <c r="UW31" s="13"/>
      <c r="UX31" s="13"/>
      <c r="UY31" s="13"/>
      <c r="UZ31" s="13"/>
      <c r="VA31" s="13"/>
      <c r="VB31" s="13"/>
      <c r="VC31" s="13"/>
      <c r="VD31" s="13"/>
      <c r="VE31" s="13"/>
      <c r="VF31" s="13"/>
      <c r="VG31" s="13"/>
      <c r="VH31" s="13"/>
      <c r="VI31" s="13"/>
      <c r="VJ31" s="13"/>
      <c r="VK31" s="13"/>
      <c r="VL31" s="13"/>
      <c r="VM31" s="13"/>
      <c r="VN31" s="13"/>
      <c r="VO31" s="13"/>
      <c r="VP31" s="13"/>
      <c r="VQ31" s="13"/>
      <c r="VR31" s="13"/>
      <c r="VS31" s="13"/>
      <c r="VT31" s="13"/>
      <c r="VU31" s="13"/>
      <c r="VV31" s="13"/>
      <c r="VW31" s="13"/>
      <c r="VX31" s="13"/>
      <c r="VY31" s="13"/>
      <c r="VZ31" s="13"/>
      <c r="WA31" s="13"/>
      <c r="WB31" s="13"/>
      <c r="WC31" s="13"/>
      <c r="WD31" s="13"/>
      <c r="WE31" s="13"/>
      <c r="WF31" s="13"/>
      <c r="WG31" s="13"/>
      <c r="WH31" s="13"/>
      <c r="WI31" s="13"/>
      <c r="WJ31" s="13"/>
      <c r="WK31" s="13"/>
      <c r="WL31" s="13"/>
      <c r="WM31" s="13"/>
      <c r="WN31" s="13"/>
      <c r="WO31" s="13"/>
      <c r="WP31" s="13"/>
      <c r="WQ31" s="13"/>
      <c r="WR31" s="13"/>
      <c r="WS31" s="13"/>
      <c r="WT31" s="13"/>
      <c r="WU31" s="13"/>
      <c r="WV31" s="13"/>
      <c r="WW31" s="13"/>
      <c r="WX31" s="13"/>
      <c r="WY31" s="13"/>
      <c r="WZ31" s="13"/>
      <c r="XA31" s="13"/>
      <c r="XB31" s="13"/>
      <c r="XC31" s="13"/>
      <c r="XD31" s="13"/>
      <c r="XE31" s="13"/>
      <c r="XF31" s="13"/>
      <c r="XG31" s="13"/>
      <c r="XH31" s="13"/>
      <c r="XI31" s="13"/>
      <c r="XJ31" s="13"/>
      <c r="XK31" s="13"/>
      <c r="XL31" s="13"/>
      <c r="XM31" s="13"/>
      <c r="XN31" s="13"/>
      <c r="XO31" s="13"/>
      <c r="XP31" s="13"/>
      <c r="XQ31" s="13"/>
      <c r="XR31" s="13"/>
      <c r="XS31" s="13"/>
      <c r="XT31" s="13"/>
      <c r="XU31" s="13"/>
      <c r="XV31" s="13"/>
      <c r="XW31" s="13"/>
      <c r="XX31" s="13"/>
      <c r="XY31" s="13"/>
      <c r="XZ31" s="13"/>
      <c r="YA31" s="13"/>
      <c r="YB31" s="13"/>
      <c r="YC31" s="13"/>
      <c r="YD31" s="13"/>
      <c r="YE31" s="13"/>
      <c r="YF31" s="13"/>
      <c r="YG31" s="13"/>
      <c r="YH31" s="13"/>
      <c r="YI31" s="13"/>
      <c r="YJ31" s="13"/>
      <c r="YK31" s="13"/>
      <c r="YL31" s="13"/>
      <c r="YM31" s="13"/>
      <c r="YN31" s="13"/>
      <c r="YO31" s="13"/>
      <c r="YP31" s="13"/>
      <c r="YQ31" s="13"/>
      <c r="YR31" s="13"/>
      <c r="YS31" s="13"/>
      <c r="YT31" s="13"/>
      <c r="YU31" s="13"/>
      <c r="YV31" s="13"/>
      <c r="YW31" s="13"/>
      <c r="YX31" s="13"/>
      <c r="YY31" s="13"/>
      <c r="YZ31" s="13"/>
      <c r="ZA31" s="13"/>
      <c r="ZB31" s="13"/>
      <c r="ZC31" s="13"/>
      <c r="ZD31" s="13"/>
      <c r="ZE31" s="13"/>
      <c r="ZF31" s="13"/>
      <c r="ZG31" s="13"/>
      <c r="ZH31" s="13"/>
      <c r="ZI31" s="13"/>
      <c r="ZJ31" s="13"/>
      <c r="ZK31" s="13"/>
      <c r="ZL31" s="13"/>
      <c r="ZM31" s="13"/>
      <c r="ZN31" s="13"/>
      <c r="ZO31" s="13"/>
      <c r="ZP31" s="13"/>
      <c r="ZQ31" s="13"/>
      <c r="ZR31" s="13"/>
      <c r="ZS31" s="13"/>
      <c r="ZT31" s="13"/>
      <c r="ZU31" s="13"/>
      <c r="ZV31" s="13"/>
      <c r="ZW31" s="13"/>
      <c r="ZX31" s="13"/>
      <c r="ZY31" s="13"/>
      <c r="ZZ31" s="13"/>
      <c r="AAA31" s="13"/>
      <c r="AAB31" s="13"/>
      <c r="AAC31" s="13"/>
      <c r="AAD31" s="13"/>
      <c r="AAE31" s="13"/>
      <c r="AAF31" s="13"/>
      <c r="AAG31" s="13"/>
      <c r="AAH31" s="13"/>
      <c r="AAI31" s="13"/>
      <c r="AAJ31" s="13"/>
      <c r="AAK31" s="13"/>
      <c r="AAL31" s="13"/>
      <c r="AAM31" s="13"/>
      <c r="AAN31" s="13"/>
      <c r="AAO31" s="13"/>
      <c r="AAP31" s="13"/>
      <c r="AAQ31" s="13"/>
      <c r="AAR31" s="13"/>
      <c r="AAS31" s="13"/>
      <c r="AAT31" s="13"/>
      <c r="AAU31" s="13"/>
      <c r="AAV31" s="13"/>
      <c r="AAW31" s="13"/>
      <c r="AAX31" s="13"/>
      <c r="AAY31" s="13"/>
      <c r="AAZ31" s="13"/>
      <c r="ABA31" s="13"/>
      <c r="ABB31" s="13"/>
      <c r="ABC31" s="13"/>
      <c r="ABD31" s="13"/>
      <c r="ABE31" s="13"/>
      <c r="ABF31" s="13"/>
      <c r="ABG31" s="13"/>
      <c r="ABH31" s="13"/>
      <c r="ABI31" s="13"/>
      <c r="ABJ31" s="13"/>
      <c r="ABK31" s="13"/>
      <c r="ABL31" s="13"/>
      <c r="ABM31" s="13"/>
      <c r="ABN31" s="13"/>
      <c r="ABO31" s="13"/>
      <c r="ABP31" s="13"/>
      <c r="ABQ31" s="13"/>
      <c r="ABR31" s="13"/>
      <c r="ABS31" s="13"/>
      <c r="ABT31" s="13"/>
      <c r="ABU31" s="13"/>
      <c r="ABV31" s="13"/>
      <c r="ABW31" s="13"/>
      <c r="ABX31" s="13"/>
      <c r="ABY31" s="13"/>
      <c r="ABZ31" s="13"/>
      <c r="ACA31" s="13"/>
      <c r="ACB31" s="13"/>
      <c r="ACC31" s="13"/>
      <c r="ACD31" s="13"/>
      <c r="ACE31" s="13"/>
      <c r="ACF31" s="13"/>
      <c r="ACG31" s="13"/>
      <c r="ACH31" s="13"/>
      <c r="ACI31" s="13"/>
      <c r="ACJ31" s="13"/>
      <c r="ACK31" s="13"/>
      <c r="ACL31" s="13"/>
      <c r="ACM31" s="13"/>
      <c r="ACN31" s="13"/>
      <c r="ACO31" s="13"/>
      <c r="ACP31" s="13"/>
      <c r="ACQ31" s="13"/>
      <c r="ACR31" s="13"/>
      <c r="ACS31" s="13"/>
      <c r="ACT31" s="13"/>
      <c r="ACU31" s="13"/>
      <c r="ACV31" s="13"/>
      <c r="ACW31" s="13"/>
      <c r="ACX31" s="13"/>
      <c r="ACY31" s="13"/>
      <c r="ACZ31" s="13"/>
      <c r="ADA31" s="13"/>
      <c r="ADB31" s="13"/>
      <c r="ADC31" s="13"/>
      <c r="ADD31" s="13"/>
      <c r="ADE31" s="13"/>
      <c r="ADF31" s="13"/>
      <c r="ADG31" s="13"/>
      <c r="ADH31" s="13"/>
      <c r="ADI31" s="13"/>
      <c r="ADJ31" s="13"/>
      <c r="ADK31" s="13"/>
      <c r="ADL31" s="13"/>
      <c r="ADM31" s="13"/>
      <c r="ADN31" s="13"/>
      <c r="ADO31" s="13"/>
      <c r="ADP31" s="13"/>
      <c r="ADQ31" s="13"/>
      <c r="ADR31" s="13"/>
      <c r="ADS31" s="13"/>
      <c r="ADT31" s="13"/>
      <c r="ADU31" s="13"/>
      <c r="ADV31" s="13"/>
      <c r="ADW31" s="13"/>
      <c r="ADX31" s="13"/>
      <c r="ADY31" s="13"/>
      <c r="ADZ31" s="13"/>
      <c r="AEA31" s="13"/>
      <c r="AEB31" s="13"/>
      <c r="AEC31" s="13"/>
      <c r="AED31" s="13"/>
      <c r="AEE31" s="13"/>
      <c r="AEF31" s="13"/>
      <c r="AEG31" s="13"/>
      <c r="AEH31" s="13"/>
      <c r="AEI31" s="13"/>
      <c r="AEJ31" s="13"/>
      <c r="AEK31" s="13"/>
      <c r="AEL31" s="13"/>
      <c r="AEM31" s="13"/>
      <c r="AEN31" s="13"/>
      <c r="AEO31" s="13"/>
      <c r="AEP31" s="13"/>
      <c r="AEQ31" s="13"/>
      <c r="AER31" s="13"/>
      <c r="AES31" s="13"/>
      <c r="AET31" s="13"/>
      <c r="AEU31" s="13"/>
      <c r="AEV31" s="13"/>
      <c r="AEW31" s="13"/>
      <c r="AEX31" s="13"/>
      <c r="AEY31" s="13"/>
      <c r="AEZ31" s="13"/>
      <c r="AFA31" s="13"/>
      <c r="AFB31" s="13"/>
      <c r="AFC31" s="13"/>
      <c r="AFD31" s="13"/>
      <c r="AFE31" s="13"/>
      <c r="AFF31" s="13"/>
      <c r="AFG31" s="13"/>
      <c r="AFH31" s="13"/>
      <c r="AFI31" s="13"/>
      <c r="AFJ31" s="13"/>
      <c r="AFK31" s="13"/>
      <c r="AFL31" s="13"/>
      <c r="AFM31" s="13"/>
      <c r="AFN31" s="13"/>
      <c r="AFO31" s="13"/>
      <c r="AFP31" s="13"/>
      <c r="AFQ31" s="13"/>
      <c r="AFR31" s="13"/>
      <c r="AFS31" s="13"/>
      <c r="AFT31" s="13"/>
      <c r="AFU31" s="13"/>
      <c r="AFV31" s="13"/>
      <c r="AFW31" s="13"/>
      <c r="AFX31" s="13"/>
      <c r="AFY31" s="13"/>
      <c r="AFZ31" s="13"/>
      <c r="AGA31" s="13"/>
      <c r="AGB31" s="13"/>
      <c r="AGC31" s="13"/>
      <c r="AGD31" s="13"/>
      <c r="AGE31" s="13"/>
      <c r="AGF31" s="13"/>
      <c r="AGG31" s="13"/>
      <c r="AGH31" s="13"/>
      <c r="AGI31" s="13"/>
      <c r="AGJ31" s="13"/>
      <c r="AGK31" s="13"/>
      <c r="AGL31" s="13"/>
      <c r="AGM31" s="13"/>
      <c r="AGN31" s="13"/>
      <c r="AGO31" s="13"/>
      <c r="AGP31" s="13"/>
      <c r="AGQ31" s="13"/>
      <c r="AGR31" s="13"/>
      <c r="AGS31" s="13"/>
      <c r="AGT31" s="13"/>
      <c r="AGU31" s="13"/>
      <c r="AGV31" s="13"/>
      <c r="AGW31" s="13"/>
      <c r="AGX31" s="13"/>
      <c r="AGY31" s="13"/>
      <c r="AGZ31" s="13"/>
      <c r="AHA31" s="13"/>
      <c r="AHB31" s="13"/>
      <c r="AHC31" s="13"/>
      <c r="AHD31" s="13"/>
      <c r="AHE31" s="13"/>
      <c r="AHF31" s="13"/>
      <c r="AHG31" s="13"/>
      <c r="AHH31" s="13"/>
      <c r="AHI31" s="13"/>
      <c r="AHJ31" s="13"/>
      <c r="AHK31" s="13"/>
      <c r="AHL31" s="13"/>
      <c r="AHM31" s="13"/>
      <c r="AHN31" s="13"/>
      <c r="AHO31" s="13"/>
      <c r="AHP31" s="13"/>
      <c r="AHQ31" s="13"/>
      <c r="AHR31" s="13"/>
      <c r="AHS31" s="13"/>
      <c r="AHT31" s="13"/>
      <c r="AHU31" s="13"/>
      <c r="AHV31" s="13"/>
      <c r="AHW31" s="13"/>
      <c r="AHX31" s="13"/>
      <c r="AHY31" s="13"/>
      <c r="AHZ31" s="13"/>
      <c r="AIA31" s="13"/>
      <c r="AIB31" s="13"/>
      <c r="AIC31" s="13"/>
      <c r="AID31" s="13"/>
      <c r="AIE31" s="13"/>
      <c r="AIF31" s="13"/>
      <c r="AIG31" s="13"/>
      <c r="AIH31" s="13"/>
      <c r="AII31" s="13"/>
      <c r="AIJ31" s="13"/>
      <c r="AIK31" s="13"/>
      <c r="AIL31" s="13"/>
      <c r="AIM31" s="13"/>
      <c r="AIN31" s="13"/>
      <c r="AIO31" s="13"/>
      <c r="AIP31" s="13"/>
      <c r="AIQ31" s="13"/>
      <c r="AIR31" s="13"/>
      <c r="AIS31" s="13"/>
      <c r="AIT31" s="13"/>
      <c r="AIU31" s="13"/>
      <c r="AIV31" s="13"/>
      <c r="AIW31" s="13"/>
      <c r="AIX31" s="13"/>
      <c r="AIY31" s="13"/>
      <c r="AIZ31" s="13"/>
      <c r="AJA31" s="13"/>
      <c r="AJB31" s="13"/>
      <c r="AJC31" s="13"/>
      <c r="AJD31" s="13"/>
      <c r="AJE31" s="13"/>
      <c r="AJF31" s="13"/>
      <c r="AJG31" s="13"/>
      <c r="AJH31" s="13"/>
      <c r="AJI31" s="13"/>
      <c r="AJJ31" s="13"/>
      <c r="AJK31" s="13"/>
      <c r="AJL31" s="13"/>
      <c r="AJM31" s="13"/>
      <c r="AJN31" s="13"/>
      <c r="AJO31" s="13"/>
      <c r="AJP31" s="13"/>
      <c r="AJQ31" s="13"/>
      <c r="AJR31" s="13"/>
      <c r="AJS31" s="13"/>
      <c r="AJT31" s="13"/>
      <c r="AJU31" s="13"/>
      <c r="AJV31" s="13"/>
      <c r="AJW31" s="13"/>
      <c r="AJX31" s="13"/>
      <c r="AJY31" s="13"/>
      <c r="AJZ31" s="13"/>
      <c r="AKA31" s="13"/>
      <c r="AKB31" s="13"/>
      <c r="AKC31" s="13"/>
      <c r="AKD31" s="13"/>
      <c r="AKE31" s="13"/>
      <c r="AKF31" s="13"/>
      <c r="AKG31" s="13"/>
      <c r="AKH31" s="13"/>
      <c r="AKI31" s="13"/>
      <c r="AKJ31" s="13"/>
      <c r="AKK31" s="13"/>
      <c r="AKL31" s="13"/>
      <c r="AKM31" s="13"/>
      <c r="AKN31" s="13"/>
      <c r="AKO31" s="13"/>
      <c r="AKP31" s="13"/>
      <c r="AKQ31" s="13"/>
      <c r="AKR31" s="13"/>
      <c r="AKS31" s="13"/>
      <c r="AKT31" s="13"/>
      <c r="AKU31" s="13"/>
      <c r="AKV31" s="13"/>
      <c r="AKW31" s="13"/>
      <c r="AKX31" s="13"/>
      <c r="AKY31" s="13"/>
      <c r="AKZ31" s="13"/>
      <c r="ALA31" s="13"/>
      <c r="ALB31" s="13"/>
      <c r="ALC31" s="13"/>
      <c r="ALD31" s="13"/>
      <c r="ALE31" s="13"/>
      <c r="ALF31" s="13"/>
      <c r="ALG31" s="13"/>
      <c r="ALH31" s="13"/>
      <c r="ALI31" s="13"/>
      <c r="ALJ31" s="13"/>
      <c r="ALK31" s="13"/>
      <c r="ALL31" s="13"/>
      <c r="ALM31" s="13"/>
      <c r="ALN31" s="13"/>
      <c r="ALO31" s="13"/>
    </row>
    <row r="32" spans="1:1012" s="18" customFormat="1" x14ac:dyDescent="0.35">
      <c r="A32" s="18" t="str">
        <f>+PL!A22</f>
        <v>Figures in brackets indicate deductions.</v>
      </c>
      <c r="E32" s="20"/>
      <c r="F32" s="21"/>
      <c r="G32" s="22" t="e">
        <f>G15-G30</f>
        <v>#REF!</v>
      </c>
      <c r="H32" s="23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</row>
    <row r="33" spans="1:1012" s="18" customFormat="1" x14ac:dyDescent="0.35">
      <c r="E33" s="20"/>
      <c r="G33" s="89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</row>
    <row r="34" spans="1:1012" s="18" customFormat="1" ht="16.5" customHeight="1" x14ac:dyDescent="0.35">
      <c r="A34" s="18" t="str">
        <f>+PL!A24</f>
        <v>The Notes on pages 06 to 11 form an integral part of these Financial Statements.</v>
      </c>
      <c r="E34" s="20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</row>
    <row r="35" spans="1:1012" s="18" customFormat="1" x14ac:dyDescent="0.35">
      <c r="E35" s="20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</row>
    <row r="36" spans="1:1012" s="18" customFormat="1" ht="15" customHeight="1" x14ac:dyDescent="0.35">
      <c r="A36" s="150" t="s">
        <v>43</v>
      </c>
      <c r="B36" s="150"/>
      <c r="C36" s="150"/>
      <c r="D36" s="150"/>
      <c r="E36" s="24"/>
      <c r="F36" s="150"/>
      <c r="G36" s="150"/>
      <c r="H36" s="150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</row>
    <row r="37" spans="1:1012" s="18" customFormat="1" ht="15" customHeight="1" x14ac:dyDescent="0.35">
      <c r="A37" s="150"/>
      <c r="B37" s="150"/>
      <c r="C37" s="150"/>
      <c r="D37" s="150"/>
      <c r="E37" s="24"/>
      <c r="F37" s="150"/>
      <c r="G37" s="150"/>
      <c r="H37" s="150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</row>
    <row r="38" spans="1:1012" s="18" customFormat="1" ht="15" customHeight="1" x14ac:dyDescent="0.35">
      <c r="A38" s="151"/>
      <c r="B38" s="151"/>
      <c r="C38" s="151"/>
      <c r="D38" s="151"/>
      <c r="E38" s="25"/>
      <c r="F38" s="151"/>
      <c r="G38" s="151"/>
      <c r="H38" s="151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</row>
    <row r="39" spans="1:1012" s="18" customFormat="1" ht="15" customHeight="1" x14ac:dyDescent="0.35">
      <c r="A39" s="18" t="s">
        <v>44</v>
      </c>
      <c r="E39" s="20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</row>
    <row r="40" spans="1:1012" s="18" customFormat="1" ht="15" customHeight="1" x14ac:dyDescent="0.35">
      <c r="A40" s="18" t="s">
        <v>45</v>
      </c>
      <c r="E40" s="20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</row>
    <row r="41" spans="1:1012" s="18" customFormat="1" ht="15" customHeight="1" x14ac:dyDescent="0.35">
      <c r="E41" s="20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</row>
    <row r="42" spans="1:1012" s="18" customFormat="1" ht="15" customHeight="1" x14ac:dyDescent="0.35">
      <c r="A42" s="150" t="s">
        <v>46</v>
      </c>
      <c r="B42" s="152"/>
      <c r="C42" s="152"/>
      <c r="D42" s="152"/>
      <c r="E42" s="26"/>
      <c r="F42" s="152"/>
      <c r="G42" s="152"/>
      <c r="H42" s="15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</row>
    <row r="43" spans="1:1012" s="18" customFormat="1" x14ac:dyDescent="0.35">
      <c r="A43" s="150" t="s">
        <v>47</v>
      </c>
      <c r="B43" s="152"/>
      <c r="C43" s="152"/>
      <c r="D43" s="152"/>
      <c r="E43" s="26"/>
      <c r="F43" s="152"/>
      <c r="G43" s="152"/>
      <c r="H43" s="15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</row>
    <row r="44" spans="1:1012" s="18" customFormat="1" x14ac:dyDescent="0.35">
      <c r="A44" s="150"/>
      <c r="B44" s="152"/>
      <c r="C44" s="152"/>
      <c r="D44" s="152"/>
      <c r="E44" s="26"/>
      <c r="F44" s="152"/>
      <c r="G44" s="152"/>
      <c r="H44" s="15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</row>
    <row r="45" spans="1:1012" s="18" customFormat="1" x14ac:dyDescent="0.35">
      <c r="A45" s="150"/>
      <c r="B45" s="152"/>
      <c r="C45" s="152"/>
      <c r="D45" s="152"/>
      <c r="E45" s="26"/>
      <c r="F45" s="152"/>
      <c r="G45" s="152"/>
      <c r="H45" s="15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</row>
    <row r="46" spans="1:1012" x14ac:dyDescent="0.35">
      <c r="A46" s="18"/>
      <c r="B46" s="18"/>
      <c r="C46" s="18"/>
      <c r="D46" s="18"/>
      <c r="E46" s="20"/>
      <c r="F46" s="18"/>
      <c r="G46" s="18"/>
      <c r="H46" s="18"/>
      <c r="I46" s="18"/>
    </row>
    <row r="47" spans="1:1012" x14ac:dyDescent="0.35">
      <c r="A47" s="27" t="s">
        <v>48</v>
      </c>
      <c r="B47" s="18"/>
      <c r="C47" s="18"/>
      <c r="D47" s="27" t="s">
        <v>48</v>
      </c>
      <c r="F47" s="18"/>
      <c r="H47" s="18"/>
      <c r="I47" s="18"/>
    </row>
    <row r="48" spans="1:1012" x14ac:dyDescent="0.35">
      <c r="A48" s="28" t="s">
        <v>49</v>
      </c>
      <c r="B48" s="18"/>
      <c r="C48" s="18"/>
      <c r="D48" s="28" t="s">
        <v>49</v>
      </c>
      <c r="F48" s="18"/>
      <c r="H48" s="18"/>
      <c r="I48" s="18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  <c r="IT48" s="13"/>
      <c r="IU48" s="13"/>
      <c r="IV48" s="13"/>
      <c r="IW48" s="13"/>
      <c r="IX48" s="13"/>
      <c r="IY48" s="13"/>
      <c r="IZ48" s="13"/>
      <c r="JA48" s="13"/>
      <c r="JB48" s="13"/>
      <c r="JC48" s="13"/>
      <c r="JD48" s="13"/>
      <c r="JE48" s="13"/>
      <c r="JF48" s="13"/>
      <c r="JG48" s="13"/>
      <c r="JH48" s="13"/>
      <c r="JI48" s="13"/>
      <c r="JJ48" s="13"/>
      <c r="JK48" s="13"/>
      <c r="JL48" s="13"/>
      <c r="JM48" s="13"/>
      <c r="JN48" s="13"/>
      <c r="JO48" s="13"/>
      <c r="JP48" s="13"/>
      <c r="JQ48" s="13"/>
      <c r="JR48" s="13"/>
      <c r="JS48" s="13"/>
      <c r="JT48" s="13"/>
      <c r="JU48" s="13"/>
      <c r="JV48" s="13"/>
      <c r="JW48" s="1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3"/>
      <c r="LX48" s="13"/>
      <c r="LY48" s="13"/>
      <c r="LZ48" s="13"/>
      <c r="MA48" s="13"/>
      <c r="MB48" s="13"/>
      <c r="MC48" s="13"/>
      <c r="MD48" s="13"/>
      <c r="ME48" s="13"/>
      <c r="MF48" s="13"/>
      <c r="MG48" s="13"/>
      <c r="MH48" s="13"/>
      <c r="MI48" s="13"/>
      <c r="MJ48" s="13"/>
      <c r="MK48" s="13"/>
      <c r="ML48" s="13"/>
      <c r="MM48" s="13"/>
      <c r="MN48" s="13"/>
      <c r="MO48" s="13"/>
      <c r="MP48" s="13"/>
      <c r="MQ48" s="13"/>
      <c r="MR48" s="13"/>
      <c r="MS48" s="13"/>
      <c r="MT48" s="13"/>
      <c r="MU48" s="13"/>
      <c r="MV48" s="13"/>
      <c r="MW48" s="13"/>
      <c r="MX48" s="13"/>
      <c r="MY48" s="13"/>
      <c r="MZ48" s="13"/>
      <c r="NA48" s="13"/>
      <c r="NB48" s="13"/>
      <c r="NC48" s="13"/>
      <c r="ND48" s="13"/>
      <c r="NE48" s="13"/>
      <c r="NF48" s="13"/>
      <c r="NG48" s="13"/>
      <c r="NH48" s="13"/>
      <c r="NI48" s="13"/>
      <c r="NJ48" s="13"/>
      <c r="NK48" s="13"/>
      <c r="NL48" s="13"/>
      <c r="NM48" s="13"/>
      <c r="NN48" s="13"/>
      <c r="NO48" s="13"/>
      <c r="NP48" s="13"/>
      <c r="NQ48" s="13"/>
      <c r="NR48" s="13"/>
      <c r="NS48" s="13"/>
      <c r="NT48" s="13"/>
      <c r="NU48" s="13"/>
      <c r="NV48" s="13"/>
      <c r="NW48" s="13"/>
      <c r="NX48" s="13"/>
      <c r="NY48" s="13"/>
      <c r="NZ48" s="13"/>
      <c r="OA48" s="13"/>
      <c r="OB48" s="13"/>
      <c r="OC48" s="13"/>
      <c r="OD48" s="13"/>
      <c r="OE48" s="13"/>
      <c r="OF48" s="13"/>
      <c r="OG48" s="13"/>
      <c r="OH48" s="13"/>
      <c r="OI48" s="13"/>
      <c r="OJ48" s="13"/>
      <c r="OK48" s="13"/>
      <c r="OL48" s="13"/>
      <c r="OM48" s="13"/>
      <c r="ON48" s="13"/>
      <c r="OO48" s="13"/>
      <c r="OP48" s="13"/>
      <c r="OQ48" s="13"/>
      <c r="OR48" s="13"/>
      <c r="OS48" s="13"/>
      <c r="OT48" s="13"/>
      <c r="OU48" s="13"/>
      <c r="OV48" s="13"/>
      <c r="OW48" s="13"/>
      <c r="OX48" s="13"/>
      <c r="OY48" s="13"/>
      <c r="OZ48" s="13"/>
      <c r="PA48" s="13"/>
      <c r="PB48" s="13"/>
      <c r="PC48" s="13"/>
      <c r="PD48" s="13"/>
      <c r="PE48" s="13"/>
      <c r="PF48" s="13"/>
      <c r="PG48" s="13"/>
      <c r="PH48" s="13"/>
      <c r="PI48" s="13"/>
      <c r="PJ48" s="13"/>
      <c r="PK48" s="13"/>
      <c r="PL48" s="13"/>
      <c r="PM48" s="13"/>
      <c r="PN48" s="13"/>
      <c r="PO48" s="13"/>
      <c r="PP48" s="13"/>
      <c r="PQ48" s="13"/>
      <c r="PR48" s="13"/>
      <c r="PS48" s="13"/>
      <c r="PT48" s="13"/>
      <c r="PU48" s="13"/>
      <c r="PV48" s="13"/>
      <c r="PW48" s="13"/>
      <c r="PX48" s="13"/>
      <c r="PY48" s="13"/>
      <c r="PZ48" s="13"/>
      <c r="QA48" s="13"/>
      <c r="QB48" s="13"/>
      <c r="QC48" s="13"/>
      <c r="QD48" s="13"/>
      <c r="QE48" s="13"/>
      <c r="QF48" s="13"/>
      <c r="QG48" s="13"/>
      <c r="QH48" s="13"/>
      <c r="QI48" s="13"/>
      <c r="QJ48" s="13"/>
      <c r="QK48" s="13"/>
      <c r="QL48" s="13"/>
      <c r="QM48" s="13"/>
      <c r="QN48" s="13"/>
      <c r="QO48" s="13"/>
      <c r="QP48" s="13"/>
      <c r="QQ48" s="13"/>
      <c r="QR48" s="13"/>
      <c r="QS48" s="13"/>
      <c r="QT48" s="13"/>
      <c r="QU48" s="13"/>
      <c r="QV48" s="13"/>
      <c r="QW48" s="13"/>
      <c r="QX48" s="13"/>
      <c r="QY48" s="13"/>
      <c r="QZ48" s="13"/>
      <c r="RA48" s="13"/>
      <c r="RB48" s="13"/>
      <c r="RC48" s="13"/>
      <c r="RD48" s="13"/>
      <c r="RE48" s="13"/>
      <c r="RF48" s="13"/>
      <c r="RG48" s="13"/>
      <c r="RH48" s="13"/>
      <c r="RI48" s="13"/>
      <c r="RJ48" s="13"/>
      <c r="RK48" s="13"/>
      <c r="RL48" s="13"/>
      <c r="RM48" s="13"/>
      <c r="RN48" s="13"/>
      <c r="RO48" s="13"/>
      <c r="RP48" s="13"/>
      <c r="RQ48" s="13"/>
      <c r="RR48" s="13"/>
      <c r="RS48" s="13"/>
      <c r="RT48" s="13"/>
      <c r="RU48" s="13"/>
      <c r="RV48" s="13"/>
      <c r="RW48" s="13"/>
      <c r="RX48" s="13"/>
      <c r="RY48" s="13"/>
      <c r="RZ48" s="13"/>
      <c r="SA48" s="13"/>
      <c r="SB48" s="13"/>
      <c r="SC48" s="13"/>
      <c r="SD48" s="13"/>
      <c r="SE48" s="13"/>
      <c r="SF48" s="13"/>
      <c r="SG48" s="13"/>
      <c r="SH48" s="13"/>
      <c r="SI48" s="13"/>
      <c r="SJ48" s="13"/>
      <c r="SK48" s="13"/>
      <c r="SL48" s="13"/>
      <c r="SM48" s="13"/>
      <c r="SN48" s="13"/>
      <c r="SO48" s="13"/>
      <c r="SP48" s="13"/>
      <c r="SQ48" s="13"/>
      <c r="SR48" s="13"/>
      <c r="SS48" s="13"/>
      <c r="ST48" s="13"/>
      <c r="SU48" s="13"/>
      <c r="SV48" s="13"/>
      <c r="SW48" s="13"/>
      <c r="SX48" s="13"/>
      <c r="SY48" s="13"/>
      <c r="SZ48" s="13"/>
      <c r="TA48" s="13"/>
      <c r="TB48" s="13"/>
      <c r="TC48" s="13"/>
      <c r="TD48" s="13"/>
      <c r="TE48" s="13"/>
      <c r="TF48" s="13"/>
      <c r="TG48" s="13"/>
      <c r="TH48" s="13"/>
      <c r="TI48" s="13"/>
      <c r="TJ48" s="13"/>
      <c r="TK48" s="13"/>
      <c r="TL48" s="13"/>
      <c r="TM48" s="13"/>
      <c r="TN48" s="13"/>
      <c r="TO48" s="13"/>
      <c r="TP48" s="13"/>
      <c r="TQ48" s="13"/>
      <c r="TR48" s="13"/>
      <c r="TS48" s="13"/>
      <c r="TT48" s="13"/>
      <c r="TU48" s="13"/>
      <c r="TV48" s="13"/>
      <c r="TW48" s="13"/>
      <c r="TX48" s="13"/>
      <c r="TY48" s="13"/>
      <c r="TZ48" s="13"/>
      <c r="UA48" s="13"/>
      <c r="UB48" s="13"/>
      <c r="UC48" s="13"/>
      <c r="UD48" s="13"/>
      <c r="UE48" s="13"/>
      <c r="UF48" s="13"/>
      <c r="UG48" s="13"/>
      <c r="UH48" s="13"/>
      <c r="UI48" s="13"/>
      <c r="UJ48" s="13"/>
      <c r="UK48" s="13"/>
      <c r="UL48" s="13"/>
      <c r="UM48" s="13"/>
      <c r="UN48" s="13"/>
      <c r="UO48" s="13"/>
      <c r="UP48" s="13"/>
      <c r="UQ48" s="13"/>
      <c r="UR48" s="13"/>
      <c r="US48" s="13"/>
      <c r="UT48" s="13"/>
      <c r="UU48" s="13"/>
      <c r="UV48" s="13"/>
      <c r="UW48" s="13"/>
      <c r="UX48" s="13"/>
      <c r="UY48" s="13"/>
      <c r="UZ48" s="13"/>
      <c r="VA48" s="13"/>
      <c r="VB48" s="13"/>
      <c r="VC48" s="13"/>
      <c r="VD48" s="13"/>
      <c r="VE48" s="13"/>
      <c r="VF48" s="13"/>
      <c r="VG48" s="13"/>
      <c r="VH48" s="13"/>
      <c r="VI48" s="13"/>
      <c r="VJ48" s="13"/>
      <c r="VK48" s="13"/>
      <c r="VL48" s="13"/>
      <c r="VM48" s="13"/>
      <c r="VN48" s="13"/>
      <c r="VO48" s="13"/>
      <c r="VP48" s="13"/>
      <c r="VQ48" s="13"/>
      <c r="VR48" s="13"/>
      <c r="VS48" s="13"/>
      <c r="VT48" s="13"/>
      <c r="VU48" s="13"/>
      <c r="VV48" s="13"/>
      <c r="VW48" s="13"/>
      <c r="VX48" s="13"/>
      <c r="VY48" s="13"/>
      <c r="VZ48" s="13"/>
      <c r="WA48" s="13"/>
      <c r="WB48" s="13"/>
      <c r="WC48" s="13"/>
      <c r="WD48" s="13"/>
      <c r="WE48" s="13"/>
      <c r="WF48" s="13"/>
      <c r="WG48" s="13"/>
      <c r="WH48" s="13"/>
      <c r="WI48" s="13"/>
      <c r="WJ48" s="13"/>
      <c r="WK48" s="13"/>
      <c r="WL48" s="13"/>
      <c r="WM48" s="13"/>
      <c r="WN48" s="13"/>
      <c r="WO48" s="13"/>
      <c r="WP48" s="13"/>
      <c r="WQ48" s="13"/>
      <c r="WR48" s="13"/>
      <c r="WS48" s="13"/>
      <c r="WT48" s="13"/>
      <c r="WU48" s="13"/>
      <c r="WV48" s="13"/>
      <c r="WW48" s="13"/>
      <c r="WX48" s="13"/>
      <c r="WY48" s="13"/>
      <c r="WZ48" s="13"/>
      <c r="XA48" s="13"/>
      <c r="XB48" s="13"/>
      <c r="XC48" s="13"/>
      <c r="XD48" s="13"/>
      <c r="XE48" s="13"/>
      <c r="XF48" s="13"/>
      <c r="XG48" s="13"/>
      <c r="XH48" s="13"/>
      <c r="XI48" s="13"/>
      <c r="XJ48" s="13"/>
      <c r="XK48" s="13"/>
      <c r="XL48" s="13"/>
      <c r="XM48" s="13"/>
      <c r="XN48" s="13"/>
      <c r="XO48" s="13"/>
      <c r="XP48" s="13"/>
      <c r="XQ48" s="13"/>
      <c r="XR48" s="13"/>
      <c r="XS48" s="13"/>
      <c r="XT48" s="13"/>
      <c r="XU48" s="13"/>
      <c r="XV48" s="13"/>
      <c r="XW48" s="13"/>
      <c r="XX48" s="13"/>
      <c r="XY48" s="13"/>
      <c r="XZ48" s="13"/>
      <c r="YA48" s="13"/>
      <c r="YB48" s="13"/>
      <c r="YC48" s="13"/>
      <c r="YD48" s="13"/>
      <c r="YE48" s="13"/>
      <c r="YF48" s="13"/>
      <c r="YG48" s="13"/>
      <c r="YH48" s="13"/>
      <c r="YI48" s="13"/>
      <c r="YJ48" s="13"/>
      <c r="YK48" s="13"/>
      <c r="YL48" s="13"/>
      <c r="YM48" s="13"/>
      <c r="YN48" s="13"/>
      <c r="YO48" s="13"/>
      <c r="YP48" s="13"/>
      <c r="YQ48" s="13"/>
      <c r="YR48" s="13"/>
      <c r="YS48" s="13"/>
      <c r="YT48" s="13"/>
      <c r="YU48" s="13"/>
      <c r="YV48" s="13"/>
      <c r="YW48" s="13"/>
      <c r="YX48" s="13"/>
      <c r="YY48" s="13"/>
      <c r="YZ48" s="13"/>
      <c r="ZA48" s="13"/>
      <c r="ZB48" s="13"/>
      <c r="ZC48" s="13"/>
      <c r="ZD48" s="13"/>
      <c r="ZE48" s="13"/>
      <c r="ZF48" s="13"/>
      <c r="ZG48" s="13"/>
      <c r="ZH48" s="13"/>
      <c r="ZI48" s="13"/>
      <c r="ZJ48" s="13"/>
      <c r="ZK48" s="13"/>
      <c r="ZL48" s="13"/>
      <c r="ZM48" s="13"/>
      <c r="ZN48" s="13"/>
      <c r="ZO48" s="13"/>
      <c r="ZP48" s="13"/>
      <c r="ZQ48" s="13"/>
      <c r="ZR48" s="13"/>
      <c r="ZS48" s="13"/>
      <c r="ZT48" s="13"/>
      <c r="ZU48" s="13"/>
      <c r="ZV48" s="13"/>
      <c r="ZW48" s="13"/>
      <c r="ZX48" s="13"/>
      <c r="ZY48" s="13"/>
      <c r="ZZ48" s="13"/>
      <c r="AAA48" s="13"/>
      <c r="AAB48" s="13"/>
      <c r="AAC48" s="13"/>
      <c r="AAD48" s="13"/>
      <c r="AAE48" s="13"/>
      <c r="AAF48" s="13"/>
      <c r="AAG48" s="13"/>
      <c r="AAH48" s="13"/>
      <c r="AAI48" s="13"/>
      <c r="AAJ48" s="13"/>
      <c r="AAK48" s="13"/>
      <c r="AAL48" s="13"/>
      <c r="AAM48" s="13"/>
      <c r="AAN48" s="13"/>
      <c r="AAO48" s="13"/>
      <c r="AAP48" s="13"/>
      <c r="AAQ48" s="13"/>
      <c r="AAR48" s="13"/>
      <c r="AAS48" s="13"/>
      <c r="AAT48" s="13"/>
      <c r="AAU48" s="13"/>
      <c r="AAV48" s="13"/>
      <c r="AAW48" s="13"/>
      <c r="AAX48" s="13"/>
      <c r="AAY48" s="13"/>
      <c r="AAZ48" s="13"/>
      <c r="ABA48" s="13"/>
      <c r="ABB48" s="13"/>
      <c r="ABC48" s="13"/>
      <c r="ABD48" s="13"/>
      <c r="ABE48" s="13"/>
      <c r="ABF48" s="13"/>
      <c r="ABG48" s="13"/>
      <c r="ABH48" s="13"/>
      <c r="ABI48" s="13"/>
      <c r="ABJ48" s="13"/>
      <c r="ABK48" s="13"/>
      <c r="ABL48" s="13"/>
      <c r="ABM48" s="13"/>
      <c r="ABN48" s="13"/>
      <c r="ABO48" s="13"/>
      <c r="ABP48" s="13"/>
      <c r="ABQ48" s="13"/>
      <c r="ABR48" s="13"/>
      <c r="ABS48" s="13"/>
      <c r="ABT48" s="13"/>
      <c r="ABU48" s="13"/>
      <c r="ABV48" s="13"/>
      <c r="ABW48" s="13"/>
      <c r="ABX48" s="13"/>
      <c r="ABY48" s="13"/>
      <c r="ABZ48" s="13"/>
      <c r="ACA48" s="13"/>
      <c r="ACB48" s="13"/>
      <c r="ACC48" s="13"/>
      <c r="ACD48" s="13"/>
      <c r="ACE48" s="13"/>
      <c r="ACF48" s="13"/>
      <c r="ACG48" s="13"/>
      <c r="ACH48" s="13"/>
      <c r="ACI48" s="13"/>
      <c r="ACJ48" s="13"/>
      <c r="ACK48" s="13"/>
      <c r="ACL48" s="13"/>
      <c r="ACM48" s="13"/>
      <c r="ACN48" s="13"/>
      <c r="ACO48" s="13"/>
      <c r="ACP48" s="13"/>
      <c r="ACQ48" s="13"/>
      <c r="ACR48" s="13"/>
      <c r="ACS48" s="13"/>
      <c r="ACT48" s="13"/>
      <c r="ACU48" s="13"/>
      <c r="ACV48" s="13"/>
      <c r="ACW48" s="13"/>
      <c r="ACX48" s="13"/>
      <c r="ACY48" s="13"/>
      <c r="ACZ48" s="13"/>
      <c r="ADA48" s="13"/>
      <c r="ADB48" s="13"/>
      <c r="ADC48" s="13"/>
      <c r="ADD48" s="13"/>
      <c r="ADE48" s="13"/>
      <c r="ADF48" s="13"/>
      <c r="ADG48" s="13"/>
      <c r="ADH48" s="13"/>
      <c r="ADI48" s="13"/>
      <c r="ADJ48" s="13"/>
      <c r="ADK48" s="13"/>
      <c r="ADL48" s="13"/>
      <c r="ADM48" s="13"/>
      <c r="ADN48" s="13"/>
      <c r="ADO48" s="13"/>
      <c r="ADP48" s="13"/>
      <c r="ADQ48" s="13"/>
      <c r="ADR48" s="13"/>
      <c r="ADS48" s="13"/>
      <c r="ADT48" s="13"/>
      <c r="ADU48" s="13"/>
      <c r="ADV48" s="13"/>
      <c r="ADW48" s="13"/>
      <c r="ADX48" s="13"/>
      <c r="ADY48" s="13"/>
      <c r="ADZ48" s="13"/>
      <c r="AEA48" s="13"/>
      <c r="AEB48" s="13"/>
      <c r="AEC48" s="13"/>
      <c r="AED48" s="13"/>
      <c r="AEE48" s="13"/>
      <c r="AEF48" s="13"/>
      <c r="AEG48" s="13"/>
      <c r="AEH48" s="13"/>
      <c r="AEI48" s="13"/>
      <c r="AEJ48" s="13"/>
      <c r="AEK48" s="13"/>
      <c r="AEL48" s="13"/>
      <c r="AEM48" s="13"/>
      <c r="AEN48" s="13"/>
      <c r="AEO48" s="13"/>
      <c r="AEP48" s="13"/>
      <c r="AEQ48" s="13"/>
      <c r="AER48" s="13"/>
      <c r="AES48" s="13"/>
      <c r="AET48" s="13"/>
      <c r="AEU48" s="13"/>
      <c r="AEV48" s="13"/>
      <c r="AEW48" s="13"/>
      <c r="AEX48" s="13"/>
      <c r="AEY48" s="13"/>
      <c r="AEZ48" s="13"/>
      <c r="AFA48" s="13"/>
      <c r="AFB48" s="13"/>
      <c r="AFC48" s="13"/>
      <c r="AFD48" s="13"/>
      <c r="AFE48" s="13"/>
      <c r="AFF48" s="13"/>
      <c r="AFG48" s="13"/>
      <c r="AFH48" s="13"/>
      <c r="AFI48" s="13"/>
      <c r="AFJ48" s="13"/>
      <c r="AFK48" s="13"/>
      <c r="AFL48" s="13"/>
      <c r="AFM48" s="13"/>
      <c r="AFN48" s="13"/>
      <c r="AFO48" s="13"/>
      <c r="AFP48" s="13"/>
      <c r="AFQ48" s="13"/>
      <c r="AFR48" s="13"/>
      <c r="AFS48" s="13"/>
      <c r="AFT48" s="13"/>
      <c r="AFU48" s="13"/>
      <c r="AFV48" s="13"/>
      <c r="AFW48" s="13"/>
      <c r="AFX48" s="13"/>
      <c r="AFY48" s="13"/>
      <c r="AFZ48" s="13"/>
      <c r="AGA48" s="13"/>
      <c r="AGB48" s="13"/>
      <c r="AGC48" s="13"/>
      <c r="AGD48" s="13"/>
      <c r="AGE48" s="13"/>
      <c r="AGF48" s="13"/>
      <c r="AGG48" s="13"/>
      <c r="AGH48" s="13"/>
      <c r="AGI48" s="13"/>
      <c r="AGJ48" s="13"/>
      <c r="AGK48" s="13"/>
      <c r="AGL48" s="13"/>
      <c r="AGM48" s="13"/>
      <c r="AGN48" s="13"/>
      <c r="AGO48" s="13"/>
      <c r="AGP48" s="13"/>
      <c r="AGQ48" s="13"/>
      <c r="AGR48" s="13"/>
      <c r="AGS48" s="13"/>
      <c r="AGT48" s="13"/>
      <c r="AGU48" s="13"/>
      <c r="AGV48" s="13"/>
      <c r="AGW48" s="13"/>
      <c r="AGX48" s="13"/>
      <c r="AGY48" s="13"/>
      <c r="AGZ48" s="13"/>
      <c r="AHA48" s="13"/>
      <c r="AHB48" s="13"/>
      <c r="AHC48" s="13"/>
      <c r="AHD48" s="13"/>
      <c r="AHE48" s="13"/>
      <c r="AHF48" s="13"/>
      <c r="AHG48" s="13"/>
      <c r="AHH48" s="13"/>
      <c r="AHI48" s="13"/>
      <c r="AHJ48" s="13"/>
      <c r="AHK48" s="13"/>
      <c r="AHL48" s="13"/>
      <c r="AHM48" s="13"/>
      <c r="AHN48" s="13"/>
      <c r="AHO48" s="13"/>
      <c r="AHP48" s="13"/>
      <c r="AHQ48" s="13"/>
      <c r="AHR48" s="13"/>
      <c r="AHS48" s="13"/>
      <c r="AHT48" s="13"/>
      <c r="AHU48" s="13"/>
      <c r="AHV48" s="13"/>
      <c r="AHW48" s="13"/>
      <c r="AHX48" s="13"/>
      <c r="AHY48" s="13"/>
      <c r="AHZ48" s="13"/>
      <c r="AIA48" s="13"/>
      <c r="AIB48" s="13"/>
      <c r="AIC48" s="13"/>
      <c r="AID48" s="13"/>
      <c r="AIE48" s="13"/>
      <c r="AIF48" s="13"/>
      <c r="AIG48" s="13"/>
      <c r="AIH48" s="13"/>
      <c r="AII48" s="13"/>
      <c r="AIJ48" s="13"/>
      <c r="AIK48" s="13"/>
      <c r="AIL48" s="13"/>
      <c r="AIM48" s="13"/>
      <c r="AIN48" s="13"/>
      <c r="AIO48" s="13"/>
      <c r="AIP48" s="13"/>
      <c r="AIQ48" s="13"/>
      <c r="AIR48" s="13"/>
      <c r="AIS48" s="13"/>
      <c r="AIT48" s="13"/>
      <c r="AIU48" s="13"/>
      <c r="AIV48" s="13"/>
      <c r="AIW48" s="13"/>
      <c r="AIX48" s="13"/>
      <c r="AIY48" s="13"/>
      <c r="AIZ48" s="13"/>
      <c r="AJA48" s="13"/>
      <c r="AJB48" s="13"/>
      <c r="AJC48" s="13"/>
      <c r="AJD48" s="13"/>
      <c r="AJE48" s="13"/>
      <c r="AJF48" s="13"/>
      <c r="AJG48" s="13"/>
      <c r="AJH48" s="13"/>
      <c r="AJI48" s="13"/>
      <c r="AJJ48" s="13"/>
      <c r="AJK48" s="13"/>
      <c r="AJL48" s="13"/>
      <c r="AJM48" s="13"/>
      <c r="AJN48" s="13"/>
      <c r="AJO48" s="13"/>
      <c r="AJP48" s="13"/>
      <c r="AJQ48" s="13"/>
      <c r="AJR48" s="13"/>
      <c r="AJS48" s="13"/>
      <c r="AJT48" s="13"/>
      <c r="AJU48" s="13"/>
      <c r="AJV48" s="13"/>
      <c r="AJW48" s="13"/>
      <c r="AJX48" s="13"/>
      <c r="AJY48" s="13"/>
      <c r="AJZ48" s="13"/>
      <c r="AKA48" s="13"/>
      <c r="AKB48" s="13"/>
      <c r="AKC48" s="13"/>
      <c r="AKD48" s="13"/>
      <c r="AKE48" s="13"/>
      <c r="AKF48" s="13"/>
      <c r="AKG48" s="13"/>
      <c r="AKH48" s="13"/>
      <c r="AKI48" s="13"/>
      <c r="AKJ48" s="13"/>
      <c r="AKK48" s="13"/>
      <c r="AKL48" s="13"/>
      <c r="AKM48" s="13"/>
      <c r="AKN48" s="13"/>
      <c r="AKO48" s="13"/>
      <c r="AKP48" s="13"/>
      <c r="AKQ48" s="13"/>
      <c r="AKR48" s="13"/>
      <c r="AKS48" s="13"/>
      <c r="AKT48" s="13"/>
      <c r="AKU48" s="13"/>
      <c r="AKV48" s="13"/>
      <c r="AKW48" s="13"/>
      <c r="AKX48" s="13"/>
      <c r="AKY48" s="13"/>
      <c r="AKZ48" s="13"/>
      <c r="ALA48" s="13"/>
      <c r="ALB48" s="13"/>
      <c r="ALC48" s="13"/>
      <c r="ALD48" s="13"/>
      <c r="ALE48" s="13"/>
      <c r="ALF48" s="13"/>
      <c r="ALG48" s="13"/>
      <c r="ALH48" s="13"/>
      <c r="ALI48" s="13"/>
      <c r="ALJ48" s="13"/>
      <c r="ALK48" s="13"/>
      <c r="ALL48" s="13"/>
      <c r="ALM48" s="13"/>
      <c r="ALN48" s="13"/>
      <c r="ALO48" s="13"/>
    </row>
    <row r="49" spans="1:1003" x14ac:dyDescent="0.35">
      <c r="A49" s="28"/>
      <c r="B49" s="18"/>
      <c r="C49" s="18"/>
      <c r="D49" s="18"/>
      <c r="E49" s="20"/>
      <c r="F49" s="18"/>
      <c r="G49" s="18"/>
      <c r="H49" s="18"/>
      <c r="I49" s="18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13"/>
      <c r="HQ49" s="13"/>
      <c r="HR49" s="13"/>
      <c r="HS49" s="13"/>
      <c r="HT49" s="13"/>
      <c r="HU49" s="13"/>
      <c r="HV49" s="13"/>
      <c r="HW49" s="13"/>
      <c r="HX49" s="13"/>
      <c r="HY49" s="13"/>
      <c r="HZ49" s="13"/>
      <c r="IA49" s="13"/>
      <c r="IB49" s="13"/>
      <c r="IC49" s="13"/>
      <c r="ID49" s="13"/>
      <c r="IE49" s="13"/>
      <c r="IF49" s="13"/>
      <c r="IG49" s="13"/>
      <c r="IH49" s="13"/>
      <c r="II49" s="13"/>
      <c r="IJ49" s="13"/>
      <c r="IK49" s="13"/>
      <c r="IL49" s="13"/>
      <c r="IM49" s="13"/>
      <c r="IN49" s="13"/>
      <c r="IO49" s="13"/>
      <c r="IP49" s="13"/>
      <c r="IQ49" s="13"/>
      <c r="IR49" s="13"/>
      <c r="IS49" s="13"/>
      <c r="IT49" s="13"/>
      <c r="IU49" s="13"/>
      <c r="IV49" s="13"/>
      <c r="IW49" s="13"/>
      <c r="IX49" s="13"/>
      <c r="IY49" s="13"/>
      <c r="IZ49" s="13"/>
      <c r="JA49" s="13"/>
      <c r="JB49" s="13"/>
      <c r="JC49" s="13"/>
      <c r="JD49" s="13"/>
      <c r="JE49" s="13"/>
      <c r="JF49" s="13"/>
      <c r="JG49" s="13"/>
      <c r="JH49" s="13"/>
      <c r="JI49" s="13"/>
      <c r="JJ49" s="13"/>
      <c r="JK49" s="13"/>
      <c r="JL49" s="13"/>
      <c r="JM49" s="13"/>
      <c r="JN49" s="13"/>
      <c r="JO49" s="13"/>
      <c r="JP49" s="13"/>
      <c r="JQ49" s="13"/>
      <c r="JR49" s="13"/>
      <c r="JS49" s="13"/>
      <c r="JT49" s="13"/>
      <c r="JU49" s="13"/>
      <c r="JV49" s="13"/>
      <c r="JW49" s="13"/>
      <c r="JX49" s="13"/>
      <c r="JY49" s="13"/>
      <c r="JZ49" s="13"/>
      <c r="KA49" s="13"/>
      <c r="KB49" s="13"/>
      <c r="KC49" s="13"/>
      <c r="KD49" s="13"/>
      <c r="KE49" s="13"/>
      <c r="KF49" s="13"/>
      <c r="KG49" s="13"/>
      <c r="KH49" s="13"/>
      <c r="KI49" s="13"/>
      <c r="KJ49" s="13"/>
      <c r="KK49" s="13"/>
      <c r="KL49" s="13"/>
      <c r="KM49" s="13"/>
      <c r="KN49" s="13"/>
      <c r="KO49" s="13"/>
      <c r="KP49" s="13"/>
      <c r="KQ49" s="13"/>
      <c r="KR49" s="13"/>
      <c r="KS49" s="13"/>
      <c r="KT49" s="13"/>
      <c r="KU49" s="13"/>
      <c r="KV49" s="13"/>
      <c r="KW49" s="13"/>
      <c r="KX49" s="13"/>
      <c r="KY49" s="13"/>
      <c r="KZ49" s="13"/>
      <c r="LA49" s="13"/>
      <c r="LB49" s="13"/>
      <c r="LC49" s="13"/>
      <c r="LD49" s="13"/>
      <c r="LE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3"/>
      <c r="LR49" s="13"/>
      <c r="LS49" s="13"/>
      <c r="LT49" s="13"/>
      <c r="LU49" s="13"/>
      <c r="LV49" s="13"/>
      <c r="LW49" s="13"/>
      <c r="LX49" s="13"/>
      <c r="LY49" s="13"/>
      <c r="LZ49" s="13"/>
      <c r="MA49" s="13"/>
      <c r="MB49" s="13"/>
      <c r="MC49" s="13"/>
      <c r="MD49" s="13"/>
      <c r="ME49" s="13"/>
      <c r="MF49" s="13"/>
      <c r="MG49" s="13"/>
      <c r="MH49" s="13"/>
      <c r="MI49" s="13"/>
      <c r="MJ49" s="13"/>
      <c r="MK49" s="13"/>
      <c r="ML49" s="13"/>
      <c r="MM49" s="13"/>
      <c r="MN49" s="13"/>
      <c r="MO49" s="13"/>
      <c r="MP49" s="13"/>
      <c r="MQ49" s="13"/>
      <c r="MR49" s="13"/>
      <c r="MS49" s="13"/>
      <c r="MT49" s="13"/>
      <c r="MU49" s="13"/>
      <c r="MV49" s="13"/>
      <c r="MW49" s="13"/>
      <c r="MX49" s="13"/>
      <c r="MY49" s="13"/>
      <c r="MZ49" s="13"/>
      <c r="NA49" s="13"/>
      <c r="NB49" s="13"/>
      <c r="NC49" s="13"/>
      <c r="ND49" s="13"/>
      <c r="NE49" s="13"/>
      <c r="NF49" s="13"/>
      <c r="NG49" s="13"/>
      <c r="NH49" s="13"/>
      <c r="NI49" s="13"/>
      <c r="NJ49" s="13"/>
      <c r="NK49" s="13"/>
      <c r="NL49" s="13"/>
      <c r="NM49" s="13"/>
      <c r="NN49" s="13"/>
      <c r="NO49" s="13"/>
      <c r="NP49" s="13"/>
      <c r="NQ49" s="13"/>
      <c r="NR49" s="13"/>
      <c r="NS49" s="13"/>
      <c r="NT49" s="13"/>
      <c r="NU49" s="13"/>
      <c r="NV49" s="13"/>
      <c r="NW49" s="13"/>
      <c r="NX49" s="13"/>
      <c r="NY49" s="13"/>
      <c r="NZ49" s="13"/>
      <c r="OA49" s="13"/>
      <c r="OB49" s="13"/>
      <c r="OC49" s="13"/>
      <c r="OD49" s="13"/>
      <c r="OE49" s="13"/>
      <c r="OF49" s="13"/>
      <c r="OG49" s="13"/>
      <c r="OH49" s="13"/>
      <c r="OI49" s="13"/>
      <c r="OJ49" s="13"/>
      <c r="OK49" s="13"/>
      <c r="OL49" s="13"/>
      <c r="OM49" s="13"/>
      <c r="ON49" s="13"/>
      <c r="OO49" s="13"/>
      <c r="OP49" s="13"/>
      <c r="OQ49" s="13"/>
      <c r="OR49" s="13"/>
      <c r="OS49" s="13"/>
      <c r="OT49" s="13"/>
      <c r="OU49" s="13"/>
      <c r="OV49" s="13"/>
      <c r="OW49" s="13"/>
      <c r="OX49" s="13"/>
      <c r="OY49" s="13"/>
      <c r="OZ49" s="13"/>
      <c r="PA49" s="13"/>
      <c r="PB49" s="13"/>
      <c r="PC49" s="13"/>
      <c r="PD49" s="13"/>
      <c r="PE49" s="13"/>
      <c r="PF49" s="13"/>
      <c r="PG49" s="13"/>
      <c r="PH49" s="13"/>
      <c r="PI49" s="13"/>
      <c r="PJ49" s="13"/>
      <c r="PK49" s="13"/>
      <c r="PL49" s="13"/>
      <c r="PM49" s="13"/>
      <c r="PN49" s="13"/>
      <c r="PO49" s="13"/>
      <c r="PP49" s="13"/>
      <c r="PQ49" s="13"/>
      <c r="PR49" s="13"/>
      <c r="PS49" s="13"/>
      <c r="PT49" s="13"/>
      <c r="PU49" s="13"/>
      <c r="PV49" s="13"/>
      <c r="PW49" s="13"/>
      <c r="PX49" s="13"/>
      <c r="PY49" s="13"/>
      <c r="PZ49" s="13"/>
      <c r="QA49" s="13"/>
      <c r="QB49" s="13"/>
      <c r="QC49" s="13"/>
      <c r="QD49" s="13"/>
      <c r="QE49" s="13"/>
      <c r="QF49" s="13"/>
      <c r="QG49" s="13"/>
      <c r="QH49" s="13"/>
      <c r="QI49" s="13"/>
      <c r="QJ49" s="13"/>
      <c r="QK49" s="13"/>
      <c r="QL49" s="13"/>
      <c r="QM49" s="13"/>
      <c r="QN49" s="13"/>
      <c r="QO49" s="13"/>
      <c r="QP49" s="13"/>
      <c r="QQ49" s="13"/>
      <c r="QR49" s="13"/>
      <c r="QS49" s="13"/>
      <c r="QT49" s="13"/>
      <c r="QU49" s="13"/>
      <c r="QV49" s="13"/>
      <c r="QW49" s="13"/>
      <c r="QX49" s="13"/>
      <c r="QY49" s="13"/>
      <c r="QZ49" s="13"/>
      <c r="RA49" s="13"/>
      <c r="RB49" s="13"/>
      <c r="RC49" s="13"/>
      <c r="RD49" s="13"/>
      <c r="RE49" s="13"/>
      <c r="RF49" s="13"/>
      <c r="RG49" s="13"/>
      <c r="RH49" s="13"/>
      <c r="RI49" s="13"/>
      <c r="RJ49" s="13"/>
      <c r="RK49" s="13"/>
      <c r="RL49" s="13"/>
      <c r="RM49" s="13"/>
      <c r="RN49" s="13"/>
      <c r="RO49" s="13"/>
      <c r="RP49" s="13"/>
      <c r="RQ49" s="13"/>
      <c r="RR49" s="13"/>
      <c r="RS49" s="13"/>
      <c r="RT49" s="13"/>
      <c r="RU49" s="13"/>
      <c r="RV49" s="13"/>
      <c r="RW49" s="13"/>
      <c r="RX49" s="13"/>
      <c r="RY49" s="13"/>
      <c r="RZ49" s="13"/>
      <c r="SA49" s="13"/>
      <c r="SB49" s="13"/>
      <c r="SC49" s="13"/>
      <c r="SD49" s="13"/>
      <c r="SE49" s="13"/>
      <c r="SF49" s="13"/>
      <c r="SG49" s="13"/>
      <c r="SH49" s="13"/>
      <c r="SI49" s="13"/>
      <c r="SJ49" s="13"/>
      <c r="SK49" s="13"/>
      <c r="SL49" s="13"/>
      <c r="SM49" s="13"/>
      <c r="SN49" s="13"/>
      <c r="SO49" s="13"/>
      <c r="SP49" s="13"/>
      <c r="SQ49" s="13"/>
      <c r="SR49" s="13"/>
      <c r="SS49" s="13"/>
      <c r="ST49" s="13"/>
      <c r="SU49" s="13"/>
      <c r="SV49" s="13"/>
      <c r="SW49" s="13"/>
      <c r="SX49" s="13"/>
      <c r="SY49" s="13"/>
      <c r="SZ49" s="13"/>
      <c r="TA49" s="13"/>
      <c r="TB49" s="13"/>
      <c r="TC49" s="13"/>
      <c r="TD49" s="13"/>
      <c r="TE49" s="13"/>
      <c r="TF49" s="13"/>
      <c r="TG49" s="13"/>
      <c r="TH49" s="13"/>
      <c r="TI49" s="13"/>
      <c r="TJ49" s="13"/>
      <c r="TK49" s="13"/>
      <c r="TL49" s="13"/>
      <c r="TM49" s="13"/>
      <c r="TN49" s="13"/>
      <c r="TO49" s="13"/>
      <c r="TP49" s="13"/>
      <c r="TQ49" s="13"/>
      <c r="TR49" s="13"/>
      <c r="TS49" s="13"/>
      <c r="TT49" s="13"/>
      <c r="TU49" s="13"/>
      <c r="TV49" s="13"/>
      <c r="TW49" s="13"/>
      <c r="TX49" s="13"/>
      <c r="TY49" s="13"/>
      <c r="TZ49" s="13"/>
      <c r="UA49" s="13"/>
      <c r="UB49" s="13"/>
      <c r="UC49" s="13"/>
      <c r="UD49" s="13"/>
      <c r="UE49" s="13"/>
      <c r="UF49" s="13"/>
      <c r="UG49" s="13"/>
      <c r="UH49" s="13"/>
      <c r="UI49" s="13"/>
      <c r="UJ49" s="13"/>
      <c r="UK49" s="13"/>
      <c r="UL49" s="13"/>
      <c r="UM49" s="13"/>
      <c r="UN49" s="13"/>
      <c r="UO49" s="13"/>
      <c r="UP49" s="13"/>
      <c r="UQ49" s="13"/>
      <c r="UR49" s="13"/>
      <c r="US49" s="13"/>
      <c r="UT49" s="13"/>
      <c r="UU49" s="13"/>
      <c r="UV49" s="13"/>
      <c r="UW49" s="13"/>
      <c r="UX49" s="13"/>
      <c r="UY49" s="13"/>
      <c r="UZ49" s="13"/>
      <c r="VA49" s="13"/>
      <c r="VB49" s="13"/>
      <c r="VC49" s="13"/>
      <c r="VD49" s="13"/>
      <c r="VE49" s="13"/>
      <c r="VF49" s="13"/>
      <c r="VG49" s="13"/>
      <c r="VH49" s="13"/>
      <c r="VI49" s="13"/>
      <c r="VJ49" s="13"/>
      <c r="VK49" s="13"/>
      <c r="VL49" s="13"/>
      <c r="VM49" s="13"/>
      <c r="VN49" s="13"/>
      <c r="VO49" s="13"/>
      <c r="VP49" s="13"/>
      <c r="VQ49" s="13"/>
      <c r="VR49" s="13"/>
      <c r="VS49" s="13"/>
      <c r="VT49" s="13"/>
      <c r="VU49" s="13"/>
      <c r="VV49" s="13"/>
      <c r="VW49" s="13"/>
      <c r="VX49" s="13"/>
      <c r="VY49" s="13"/>
      <c r="VZ49" s="13"/>
      <c r="WA49" s="13"/>
      <c r="WB49" s="13"/>
      <c r="WC49" s="13"/>
      <c r="WD49" s="13"/>
      <c r="WE49" s="13"/>
      <c r="WF49" s="13"/>
      <c r="WG49" s="13"/>
      <c r="WH49" s="13"/>
      <c r="WI49" s="13"/>
      <c r="WJ49" s="13"/>
      <c r="WK49" s="13"/>
      <c r="WL49" s="13"/>
      <c r="WM49" s="13"/>
      <c r="WN49" s="13"/>
      <c r="WO49" s="13"/>
      <c r="WP49" s="13"/>
      <c r="WQ49" s="13"/>
      <c r="WR49" s="13"/>
      <c r="WS49" s="13"/>
      <c r="WT49" s="13"/>
      <c r="WU49" s="13"/>
      <c r="WV49" s="13"/>
      <c r="WW49" s="13"/>
      <c r="WX49" s="13"/>
      <c r="WY49" s="13"/>
      <c r="WZ49" s="13"/>
      <c r="XA49" s="13"/>
      <c r="XB49" s="13"/>
      <c r="XC49" s="13"/>
      <c r="XD49" s="13"/>
      <c r="XE49" s="13"/>
      <c r="XF49" s="13"/>
      <c r="XG49" s="13"/>
      <c r="XH49" s="13"/>
      <c r="XI49" s="13"/>
      <c r="XJ49" s="13"/>
      <c r="XK49" s="13"/>
      <c r="XL49" s="13"/>
      <c r="XM49" s="13"/>
      <c r="XN49" s="13"/>
      <c r="XO49" s="13"/>
      <c r="XP49" s="13"/>
      <c r="XQ49" s="13"/>
      <c r="XR49" s="13"/>
      <c r="XS49" s="13"/>
      <c r="XT49" s="13"/>
      <c r="XU49" s="13"/>
      <c r="XV49" s="13"/>
      <c r="XW49" s="13"/>
      <c r="XX49" s="13"/>
      <c r="XY49" s="13"/>
      <c r="XZ49" s="13"/>
      <c r="YA49" s="13"/>
      <c r="YB49" s="13"/>
      <c r="YC49" s="13"/>
      <c r="YD49" s="13"/>
      <c r="YE49" s="13"/>
      <c r="YF49" s="13"/>
      <c r="YG49" s="13"/>
      <c r="YH49" s="13"/>
      <c r="YI49" s="13"/>
      <c r="YJ49" s="13"/>
      <c r="YK49" s="13"/>
      <c r="YL49" s="13"/>
      <c r="YM49" s="13"/>
      <c r="YN49" s="13"/>
      <c r="YO49" s="13"/>
      <c r="YP49" s="13"/>
      <c r="YQ49" s="13"/>
      <c r="YR49" s="13"/>
      <c r="YS49" s="13"/>
      <c r="YT49" s="13"/>
      <c r="YU49" s="13"/>
      <c r="YV49" s="13"/>
      <c r="YW49" s="13"/>
      <c r="YX49" s="13"/>
      <c r="YY49" s="13"/>
      <c r="YZ49" s="13"/>
      <c r="ZA49" s="13"/>
      <c r="ZB49" s="13"/>
      <c r="ZC49" s="13"/>
      <c r="ZD49" s="13"/>
      <c r="ZE49" s="13"/>
      <c r="ZF49" s="13"/>
      <c r="ZG49" s="13"/>
      <c r="ZH49" s="13"/>
      <c r="ZI49" s="13"/>
      <c r="ZJ49" s="13"/>
      <c r="ZK49" s="13"/>
      <c r="ZL49" s="13"/>
      <c r="ZM49" s="13"/>
      <c r="ZN49" s="13"/>
      <c r="ZO49" s="13"/>
      <c r="ZP49" s="13"/>
      <c r="ZQ49" s="13"/>
      <c r="ZR49" s="13"/>
      <c r="ZS49" s="13"/>
      <c r="ZT49" s="13"/>
      <c r="ZU49" s="13"/>
      <c r="ZV49" s="13"/>
      <c r="ZW49" s="13"/>
      <c r="ZX49" s="13"/>
      <c r="ZY49" s="13"/>
      <c r="ZZ49" s="13"/>
      <c r="AAA49" s="13"/>
      <c r="AAB49" s="13"/>
      <c r="AAC49" s="13"/>
      <c r="AAD49" s="13"/>
      <c r="AAE49" s="13"/>
      <c r="AAF49" s="13"/>
      <c r="AAG49" s="13"/>
      <c r="AAH49" s="13"/>
      <c r="AAI49" s="13"/>
      <c r="AAJ49" s="13"/>
      <c r="AAK49" s="13"/>
      <c r="AAL49" s="13"/>
      <c r="AAM49" s="13"/>
      <c r="AAN49" s="13"/>
      <c r="AAO49" s="13"/>
      <c r="AAP49" s="13"/>
      <c r="AAQ49" s="13"/>
      <c r="AAR49" s="13"/>
      <c r="AAS49" s="13"/>
      <c r="AAT49" s="13"/>
      <c r="AAU49" s="13"/>
      <c r="AAV49" s="13"/>
      <c r="AAW49" s="13"/>
      <c r="AAX49" s="13"/>
      <c r="AAY49" s="13"/>
      <c r="AAZ49" s="13"/>
      <c r="ABA49" s="13"/>
      <c r="ABB49" s="13"/>
      <c r="ABC49" s="13"/>
      <c r="ABD49" s="13"/>
      <c r="ABE49" s="13"/>
      <c r="ABF49" s="13"/>
      <c r="ABG49" s="13"/>
      <c r="ABH49" s="13"/>
      <c r="ABI49" s="13"/>
      <c r="ABJ49" s="13"/>
      <c r="ABK49" s="13"/>
      <c r="ABL49" s="13"/>
      <c r="ABM49" s="13"/>
      <c r="ABN49" s="13"/>
      <c r="ABO49" s="13"/>
      <c r="ABP49" s="13"/>
      <c r="ABQ49" s="13"/>
      <c r="ABR49" s="13"/>
      <c r="ABS49" s="13"/>
      <c r="ABT49" s="13"/>
      <c r="ABU49" s="13"/>
      <c r="ABV49" s="13"/>
      <c r="ABW49" s="13"/>
      <c r="ABX49" s="13"/>
      <c r="ABY49" s="13"/>
      <c r="ABZ49" s="13"/>
      <c r="ACA49" s="13"/>
      <c r="ACB49" s="13"/>
      <c r="ACC49" s="13"/>
      <c r="ACD49" s="13"/>
      <c r="ACE49" s="13"/>
      <c r="ACF49" s="13"/>
      <c r="ACG49" s="13"/>
      <c r="ACH49" s="13"/>
      <c r="ACI49" s="13"/>
      <c r="ACJ49" s="13"/>
      <c r="ACK49" s="13"/>
      <c r="ACL49" s="13"/>
      <c r="ACM49" s="13"/>
      <c r="ACN49" s="13"/>
      <c r="ACO49" s="13"/>
      <c r="ACP49" s="13"/>
      <c r="ACQ49" s="13"/>
      <c r="ACR49" s="13"/>
      <c r="ACS49" s="13"/>
      <c r="ACT49" s="13"/>
      <c r="ACU49" s="13"/>
      <c r="ACV49" s="13"/>
      <c r="ACW49" s="13"/>
      <c r="ACX49" s="13"/>
      <c r="ACY49" s="13"/>
      <c r="ACZ49" s="13"/>
      <c r="ADA49" s="13"/>
      <c r="ADB49" s="13"/>
      <c r="ADC49" s="13"/>
      <c r="ADD49" s="13"/>
      <c r="ADE49" s="13"/>
      <c r="ADF49" s="13"/>
      <c r="ADG49" s="13"/>
      <c r="ADH49" s="13"/>
      <c r="ADI49" s="13"/>
      <c r="ADJ49" s="13"/>
      <c r="ADK49" s="13"/>
      <c r="ADL49" s="13"/>
      <c r="ADM49" s="13"/>
      <c r="ADN49" s="13"/>
      <c r="ADO49" s="13"/>
      <c r="ADP49" s="13"/>
      <c r="ADQ49" s="13"/>
      <c r="ADR49" s="13"/>
      <c r="ADS49" s="13"/>
      <c r="ADT49" s="13"/>
      <c r="ADU49" s="13"/>
      <c r="ADV49" s="13"/>
      <c r="ADW49" s="13"/>
      <c r="ADX49" s="13"/>
      <c r="ADY49" s="13"/>
      <c r="ADZ49" s="13"/>
      <c r="AEA49" s="13"/>
      <c r="AEB49" s="13"/>
      <c r="AEC49" s="13"/>
      <c r="AED49" s="13"/>
      <c r="AEE49" s="13"/>
      <c r="AEF49" s="13"/>
      <c r="AEG49" s="13"/>
      <c r="AEH49" s="13"/>
      <c r="AEI49" s="13"/>
      <c r="AEJ49" s="13"/>
      <c r="AEK49" s="13"/>
      <c r="AEL49" s="13"/>
      <c r="AEM49" s="13"/>
      <c r="AEN49" s="13"/>
      <c r="AEO49" s="13"/>
      <c r="AEP49" s="13"/>
      <c r="AEQ49" s="13"/>
      <c r="AER49" s="13"/>
      <c r="AES49" s="13"/>
      <c r="AET49" s="13"/>
      <c r="AEU49" s="13"/>
      <c r="AEV49" s="13"/>
      <c r="AEW49" s="13"/>
      <c r="AEX49" s="13"/>
      <c r="AEY49" s="13"/>
      <c r="AEZ49" s="13"/>
      <c r="AFA49" s="13"/>
      <c r="AFB49" s="13"/>
      <c r="AFC49" s="13"/>
      <c r="AFD49" s="13"/>
      <c r="AFE49" s="13"/>
      <c r="AFF49" s="13"/>
      <c r="AFG49" s="13"/>
      <c r="AFH49" s="13"/>
      <c r="AFI49" s="13"/>
      <c r="AFJ49" s="13"/>
      <c r="AFK49" s="13"/>
      <c r="AFL49" s="13"/>
      <c r="AFM49" s="13"/>
      <c r="AFN49" s="13"/>
      <c r="AFO49" s="13"/>
      <c r="AFP49" s="13"/>
      <c r="AFQ49" s="13"/>
      <c r="AFR49" s="13"/>
      <c r="AFS49" s="13"/>
      <c r="AFT49" s="13"/>
      <c r="AFU49" s="13"/>
      <c r="AFV49" s="13"/>
      <c r="AFW49" s="13"/>
      <c r="AFX49" s="13"/>
      <c r="AFY49" s="13"/>
      <c r="AFZ49" s="13"/>
      <c r="AGA49" s="13"/>
      <c r="AGB49" s="13"/>
      <c r="AGC49" s="13"/>
      <c r="AGD49" s="13"/>
      <c r="AGE49" s="13"/>
      <c r="AGF49" s="13"/>
      <c r="AGG49" s="13"/>
      <c r="AGH49" s="13"/>
      <c r="AGI49" s="13"/>
      <c r="AGJ49" s="13"/>
      <c r="AGK49" s="13"/>
      <c r="AGL49" s="13"/>
      <c r="AGM49" s="13"/>
      <c r="AGN49" s="13"/>
      <c r="AGO49" s="13"/>
      <c r="AGP49" s="13"/>
      <c r="AGQ49" s="13"/>
      <c r="AGR49" s="13"/>
      <c r="AGS49" s="13"/>
      <c r="AGT49" s="13"/>
      <c r="AGU49" s="13"/>
      <c r="AGV49" s="13"/>
      <c r="AGW49" s="13"/>
      <c r="AGX49" s="13"/>
      <c r="AGY49" s="13"/>
      <c r="AGZ49" s="13"/>
      <c r="AHA49" s="13"/>
      <c r="AHB49" s="13"/>
      <c r="AHC49" s="13"/>
      <c r="AHD49" s="13"/>
      <c r="AHE49" s="13"/>
      <c r="AHF49" s="13"/>
      <c r="AHG49" s="13"/>
      <c r="AHH49" s="13"/>
      <c r="AHI49" s="13"/>
      <c r="AHJ49" s="13"/>
      <c r="AHK49" s="13"/>
      <c r="AHL49" s="13"/>
      <c r="AHM49" s="13"/>
      <c r="AHN49" s="13"/>
      <c r="AHO49" s="13"/>
      <c r="AHP49" s="13"/>
      <c r="AHQ49" s="13"/>
      <c r="AHR49" s="13"/>
      <c r="AHS49" s="13"/>
      <c r="AHT49" s="13"/>
      <c r="AHU49" s="13"/>
      <c r="AHV49" s="13"/>
      <c r="AHW49" s="13"/>
      <c r="AHX49" s="13"/>
      <c r="AHY49" s="13"/>
      <c r="AHZ49" s="13"/>
      <c r="AIA49" s="13"/>
      <c r="AIB49" s="13"/>
      <c r="AIC49" s="13"/>
      <c r="AID49" s="13"/>
      <c r="AIE49" s="13"/>
      <c r="AIF49" s="13"/>
      <c r="AIG49" s="13"/>
      <c r="AIH49" s="13"/>
      <c r="AII49" s="13"/>
      <c r="AIJ49" s="13"/>
      <c r="AIK49" s="13"/>
      <c r="AIL49" s="13"/>
      <c r="AIM49" s="13"/>
      <c r="AIN49" s="13"/>
      <c r="AIO49" s="13"/>
      <c r="AIP49" s="13"/>
      <c r="AIQ49" s="13"/>
      <c r="AIR49" s="13"/>
      <c r="AIS49" s="13"/>
      <c r="AIT49" s="13"/>
      <c r="AIU49" s="13"/>
      <c r="AIV49" s="13"/>
      <c r="AIW49" s="13"/>
      <c r="AIX49" s="13"/>
      <c r="AIY49" s="13"/>
      <c r="AIZ49" s="13"/>
      <c r="AJA49" s="13"/>
      <c r="AJB49" s="13"/>
      <c r="AJC49" s="13"/>
      <c r="AJD49" s="13"/>
      <c r="AJE49" s="13"/>
      <c r="AJF49" s="13"/>
      <c r="AJG49" s="13"/>
      <c r="AJH49" s="13"/>
      <c r="AJI49" s="13"/>
      <c r="AJJ49" s="13"/>
      <c r="AJK49" s="13"/>
      <c r="AJL49" s="13"/>
      <c r="AJM49" s="13"/>
      <c r="AJN49" s="13"/>
      <c r="AJO49" s="13"/>
      <c r="AJP49" s="13"/>
      <c r="AJQ49" s="13"/>
      <c r="AJR49" s="13"/>
      <c r="AJS49" s="13"/>
      <c r="AJT49" s="13"/>
      <c r="AJU49" s="13"/>
      <c r="AJV49" s="13"/>
      <c r="AJW49" s="13"/>
      <c r="AJX49" s="13"/>
      <c r="AJY49" s="13"/>
      <c r="AJZ49" s="13"/>
      <c r="AKA49" s="13"/>
      <c r="AKB49" s="13"/>
      <c r="AKC49" s="13"/>
      <c r="AKD49" s="13"/>
      <c r="AKE49" s="13"/>
      <c r="AKF49" s="13"/>
      <c r="AKG49" s="13"/>
      <c r="AKH49" s="13"/>
      <c r="AKI49" s="13"/>
      <c r="AKJ49" s="13"/>
      <c r="AKK49" s="13"/>
      <c r="AKL49" s="13"/>
      <c r="AKM49" s="13"/>
      <c r="AKN49" s="13"/>
      <c r="AKO49" s="13"/>
      <c r="AKP49" s="13"/>
      <c r="AKQ49" s="13"/>
      <c r="AKR49" s="13"/>
      <c r="AKS49" s="13"/>
      <c r="AKT49" s="13"/>
      <c r="AKU49" s="13"/>
      <c r="AKV49" s="13"/>
      <c r="AKW49" s="13"/>
      <c r="AKX49" s="13"/>
      <c r="AKY49" s="13"/>
      <c r="AKZ49" s="13"/>
      <c r="ALA49" s="13"/>
      <c r="ALB49" s="13"/>
      <c r="ALC49" s="13"/>
      <c r="ALD49" s="13"/>
      <c r="ALE49" s="13"/>
      <c r="ALF49" s="13"/>
      <c r="ALG49" s="13"/>
      <c r="ALH49" s="13"/>
      <c r="ALI49" s="13"/>
      <c r="ALJ49" s="13"/>
      <c r="ALK49" s="13"/>
      <c r="ALL49" s="13"/>
      <c r="ALM49" s="13"/>
      <c r="ALN49" s="13"/>
      <c r="ALO49" s="13"/>
    </row>
    <row r="50" spans="1:1003" x14ac:dyDescent="0.35">
      <c r="A50" s="28" t="s">
        <v>181</v>
      </c>
      <c r="B50" s="18"/>
      <c r="C50" s="18"/>
      <c r="D50" s="18"/>
      <c r="E50" s="20"/>
      <c r="F50" s="18"/>
      <c r="G50" s="18"/>
      <c r="H50" s="18"/>
      <c r="I50" s="18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13"/>
      <c r="HQ50" s="13"/>
      <c r="HR50" s="13"/>
      <c r="HS50" s="13"/>
      <c r="HT50" s="13"/>
      <c r="HU50" s="13"/>
      <c r="HV50" s="13"/>
      <c r="HW50" s="13"/>
      <c r="HX50" s="13"/>
      <c r="HY50" s="13"/>
      <c r="HZ50" s="13"/>
      <c r="IA50" s="13"/>
      <c r="IB50" s="13"/>
      <c r="IC50" s="13"/>
      <c r="ID50" s="13"/>
      <c r="IE50" s="13"/>
      <c r="IF50" s="13"/>
      <c r="IG50" s="13"/>
      <c r="IH50" s="13"/>
      <c r="II50" s="13"/>
      <c r="IJ50" s="13"/>
      <c r="IK50" s="13"/>
      <c r="IL50" s="13"/>
      <c r="IM50" s="13"/>
      <c r="IN50" s="13"/>
      <c r="IO50" s="13"/>
      <c r="IP50" s="13"/>
      <c r="IQ50" s="13"/>
      <c r="IR50" s="13"/>
      <c r="IS50" s="13"/>
      <c r="IT50" s="13"/>
      <c r="IU50" s="13"/>
      <c r="IV50" s="13"/>
      <c r="IW50" s="13"/>
      <c r="IX50" s="13"/>
      <c r="IY50" s="13"/>
      <c r="IZ50" s="13"/>
      <c r="JA50" s="13"/>
      <c r="JB50" s="13"/>
      <c r="JC50" s="13"/>
      <c r="JD50" s="13"/>
      <c r="JE50" s="13"/>
      <c r="JF50" s="13"/>
      <c r="JG50" s="13"/>
      <c r="JH50" s="13"/>
      <c r="JI50" s="13"/>
      <c r="JJ50" s="13"/>
      <c r="JK50" s="13"/>
      <c r="JL50" s="13"/>
      <c r="JM50" s="13"/>
      <c r="JN50" s="13"/>
      <c r="JO50" s="13"/>
      <c r="JP50" s="13"/>
      <c r="JQ50" s="13"/>
      <c r="JR50" s="13"/>
      <c r="JS50" s="13"/>
      <c r="JT50" s="13"/>
      <c r="JU50" s="13"/>
      <c r="JV50" s="13"/>
      <c r="JW50" s="13"/>
      <c r="JX50" s="13"/>
      <c r="JY50" s="13"/>
      <c r="JZ50" s="13"/>
      <c r="KA50" s="13"/>
      <c r="KB50" s="13"/>
      <c r="KC50" s="13"/>
      <c r="KD50" s="13"/>
      <c r="KE50" s="13"/>
      <c r="KF50" s="13"/>
      <c r="KG50" s="13"/>
      <c r="KH50" s="13"/>
      <c r="KI50" s="13"/>
      <c r="KJ50" s="13"/>
      <c r="KK50" s="13"/>
      <c r="KL50" s="13"/>
      <c r="KM50" s="13"/>
      <c r="KN50" s="13"/>
      <c r="KO50" s="13"/>
      <c r="KP50" s="13"/>
      <c r="KQ50" s="13"/>
      <c r="KR50" s="13"/>
      <c r="KS50" s="13"/>
      <c r="KT50" s="13"/>
      <c r="KU50" s="13"/>
      <c r="KV50" s="13"/>
      <c r="KW50" s="13"/>
      <c r="KX50" s="13"/>
      <c r="KY50" s="13"/>
      <c r="KZ50" s="13"/>
      <c r="LA50" s="13"/>
      <c r="LB50" s="13"/>
      <c r="LC50" s="13"/>
      <c r="LD50" s="13"/>
      <c r="LE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3"/>
      <c r="LR50" s="13"/>
      <c r="LS50" s="13"/>
      <c r="LT50" s="13"/>
      <c r="LU50" s="13"/>
      <c r="LV50" s="13"/>
      <c r="LW50" s="13"/>
      <c r="LX50" s="13"/>
      <c r="LY50" s="13"/>
      <c r="LZ50" s="13"/>
      <c r="MA50" s="13"/>
      <c r="MB50" s="13"/>
      <c r="MC50" s="13"/>
      <c r="MD50" s="13"/>
      <c r="ME50" s="13"/>
      <c r="MF50" s="13"/>
      <c r="MG50" s="13"/>
      <c r="MH50" s="13"/>
      <c r="MI50" s="13"/>
      <c r="MJ50" s="13"/>
      <c r="MK50" s="13"/>
      <c r="ML50" s="13"/>
      <c r="MM50" s="13"/>
      <c r="MN50" s="13"/>
      <c r="MO50" s="13"/>
      <c r="MP50" s="13"/>
      <c r="MQ50" s="13"/>
      <c r="MR50" s="13"/>
      <c r="MS50" s="13"/>
      <c r="MT50" s="13"/>
      <c r="MU50" s="13"/>
      <c r="MV50" s="13"/>
      <c r="MW50" s="13"/>
      <c r="MX50" s="13"/>
      <c r="MY50" s="13"/>
      <c r="MZ50" s="13"/>
      <c r="NA50" s="13"/>
      <c r="NB50" s="13"/>
      <c r="NC50" s="13"/>
      <c r="ND50" s="13"/>
      <c r="NE50" s="13"/>
      <c r="NF50" s="13"/>
      <c r="NG50" s="13"/>
      <c r="NH50" s="13"/>
      <c r="NI50" s="13"/>
      <c r="NJ50" s="13"/>
      <c r="NK50" s="13"/>
      <c r="NL50" s="13"/>
      <c r="NM50" s="13"/>
      <c r="NN50" s="13"/>
      <c r="NO50" s="13"/>
      <c r="NP50" s="13"/>
      <c r="NQ50" s="13"/>
      <c r="NR50" s="13"/>
      <c r="NS50" s="13"/>
      <c r="NT50" s="13"/>
      <c r="NU50" s="13"/>
      <c r="NV50" s="13"/>
      <c r="NW50" s="13"/>
      <c r="NX50" s="13"/>
      <c r="NY50" s="13"/>
      <c r="NZ50" s="13"/>
      <c r="OA50" s="13"/>
      <c r="OB50" s="13"/>
      <c r="OC50" s="13"/>
      <c r="OD50" s="13"/>
      <c r="OE50" s="13"/>
      <c r="OF50" s="13"/>
      <c r="OG50" s="13"/>
      <c r="OH50" s="13"/>
      <c r="OI50" s="13"/>
      <c r="OJ50" s="13"/>
      <c r="OK50" s="13"/>
      <c r="OL50" s="13"/>
      <c r="OM50" s="13"/>
      <c r="ON50" s="13"/>
      <c r="OO50" s="13"/>
      <c r="OP50" s="13"/>
      <c r="OQ50" s="13"/>
      <c r="OR50" s="13"/>
      <c r="OS50" s="13"/>
      <c r="OT50" s="13"/>
      <c r="OU50" s="13"/>
      <c r="OV50" s="13"/>
      <c r="OW50" s="13"/>
      <c r="OX50" s="13"/>
      <c r="OY50" s="13"/>
      <c r="OZ50" s="13"/>
      <c r="PA50" s="13"/>
      <c r="PB50" s="13"/>
      <c r="PC50" s="13"/>
      <c r="PD50" s="13"/>
      <c r="PE50" s="13"/>
      <c r="PF50" s="13"/>
      <c r="PG50" s="13"/>
      <c r="PH50" s="13"/>
      <c r="PI50" s="13"/>
      <c r="PJ50" s="13"/>
      <c r="PK50" s="13"/>
      <c r="PL50" s="13"/>
      <c r="PM50" s="13"/>
      <c r="PN50" s="13"/>
      <c r="PO50" s="13"/>
      <c r="PP50" s="13"/>
      <c r="PQ50" s="13"/>
      <c r="PR50" s="13"/>
      <c r="PS50" s="13"/>
      <c r="PT50" s="13"/>
      <c r="PU50" s="13"/>
      <c r="PV50" s="13"/>
      <c r="PW50" s="13"/>
      <c r="PX50" s="13"/>
      <c r="PY50" s="13"/>
      <c r="PZ50" s="13"/>
      <c r="QA50" s="13"/>
      <c r="QB50" s="13"/>
      <c r="QC50" s="13"/>
      <c r="QD50" s="13"/>
      <c r="QE50" s="13"/>
      <c r="QF50" s="13"/>
      <c r="QG50" s="13"/>
      <c r="QH50" s="13"/>
      <c r="QI50" s="13"/>
      <c r="QJ50" s="13"/>
      <c r="QK50" s="13"/>
      <c r="QL50" s="13"/>
      <c r="QM50" s="13"/>
      <c r="QN50" s="13"/>
      <c r="QO50" s="13"/>
      <c r="QP50" s="13"/>
      <c r="QQ50" s="13"/>
      <c r="QR50" s="13"/>
      <c r="QS50" s="13"/>
      <c r="QT50" s="13"/>
      <c r="QU50" s="13"/>
      <c r="QV50" s="13"/>
      <c r="QW50" s="13"/>
      <c r="QX50" s="13"/>
      <c r="QY50" s="13"/>
      <c r="QZ50" s="13"/>
      <c r="RA50" s="13"/>
      <c r="RB50" s="13"/>
      <c r="RC50" s="13"/>
      <c r="RD50" s="13"/>
      <c r="RE50" s="13"/>
      <c r="RF50" s="13"/>
      <c r="RG50" s="13"/>
      <c r="RH50" s="13"/>
      <c r="RI50" s="13"/>
      <c r="RJ50" s="13"/>
      <c r="RK50" s="13"/>
      <c r="RL50" s="13"/>
      <c r="RM50" s="13"/>
      <c r="RN50" s="13"/>
      <c r="RO50" s="13"/>
      <c r="RP50" s="13"/>
      <c r="RQ50" s="13"/>
      <c r="RR50" s="13"/>
      <c r="RS50" s="13"/>
      <c r="RT50" s="13"/>
      <c r="RU50" s="13"/>
      <c r="RV50" s="13"/>
      <c r="RW50" s="13"/>
      <c r="RX50" s="13"/>
      <c r="RY50" s="13"/>
      <c r="RZ50" s="13"/>
      <c r="SA50" s="13"/>
      <c r="SB50" s="13"/>
      <c r="SC50" s="13"/>
      <c r="SD50" s="13"/>
      <c r="SE50" s="13"/>
      <c r="SF50" s="13"/>
      <c r="SG50" s="13"/>
      <c r="SH50" s="13"/>
      <c r="SI50" s="13"/>
      <c r="SJ50" s="13"/>
      <c r="SK50" s="13"/>
      <c r="SL50" s="13"/>
      <c r="SM50" s="13"/>
      <c r="SN50" s="13"/>
      <c r="SO50" s="13"/>
      <c r="SP50" s="13"/>
      <c r="SQ50" s="13"/>
      <c r="SR50" s="13"/>
      <c r="SS50" s="13"/>
      <c r="ST50" s="13"/>
      <c r="SU50" s="13"/>
      <c r="SV50" s="13"/>
      <c r="SW50" s="13"/>
      <c r="SX50" s="13"/>
      <c r="SY50" s="13"/>
      <c r="SZ50" s="13"/>
      <c r="TA50" s="13"/>
      <c r="TB50" s="13"/>
      <c r="TC50" s="13"/>
      <c r="TD50" s="13"/>
      <c r="TE50" s="13"/>
      <c r="TF50" s="13"/>
      <c r="TG50" s="13"/>
      <c r="TH50" s="13"/>
      <c r="TI50" s="13"/>
      <c r="TJ50" s="13"/>
      <c r="TK50" s="13"/>
      <c r="TL50" s="13"/>
      <c r="TM50" s="13"/>
      <c r="TN50" s="13"/>
      <c r="TO50" s="13"/>
      <c r="TP50" s="13"/>
      <c r="TQ50" s="13"/>
      <c r="TR50" s="13"/>
      <c r="TS50" s="13"/>
      <c r="TT50" s="13"/>
      <c r="TU50" s="13"/>
      <c r="TV50" s="13"/>
      <c r="TW50" s="13"/>
      <c r="TX50" s="13"/>
      <c r="TY50" s="13"/>
      <c r="TZ50" s="13"/>
      <c r="UA50" s="13"/>
      <c r="UB50" s="13"/>
      <c r="UC50" s="13"/>
      <c r="UD50" s="13"/>
      <c r="UE50" s="13"/>
      <c r="UF50" s="13"/>
      <c r="UG50" s="13"/>
      <c r="UH50" s="13"/>
      <c r="UI50" s="13"/>
      <c r="UJ50" s="13"/>
      <c r="UK50" s="13"/>
      <c r="UL50" s="13"/>
      <c r="UM50" s="13"/>
      <c r="UN50" s="13"/>
      <c r="UO50" s="13"/>
      <c r="UP50" s="13"/>
      <c r="UQ50" s="13"/>
      <c r="UR50" s="13"/>
      <c r="US50" s="13"/>
      <c r="UT50" s="13"/>
      <c r="UU50" s="13"/>
      <c r="UV50" s="13"/>
      <c r="UW50" s="13"/>
      <c r="UX50" s="13"/>
      <c r="UY50" s="13"/>
      <c r="UZ50" s="13"/>
      <c r="VA50" s="13"/>
      <c r="VB50" s="13"/>
      <c r="VC50" s="13"/>
      <c r="VD50" s="13"/>
      <c r="VE50" s="13"/>
      <c r="VF50" s="13"/>
      <c r="VG50" s="13"/>
      <c r="VH50" s="13"/>
      <c r="VI50" s="13"/>
      <c r="VJ50" s="13"/>
      <c r="VK50" s="13"/>
      <c r="VL50" s="13"/>
      <c r="VM50" s="13"/>
      <c r="VN50" s="13"/>
      <c r="VO50" s="13"/>
      <c r="VP50" s="13"/>
      <c r="VQ50" s="13"/>
      <c r="VR50" s="13"/>
      <c r="VS50" s="13"/>
      <c r="VT50" s="13"/>
      <c r="VU50" s="13"/>
      <c r="VV50" s="13"/>
      <c r="VW50" s="13"/>
      <c r="VX50" s="13"/>
      <c r="VY50" s="13"/>
      <c r="VZ50" s="13"/>
      <c r="WA50" s="13"/>
      <c r="WB50" s="13"/>
      <c r="WC50" s="13"/>
      <c r="WD50" s="13"/>
      <c r="WE50" s="13"/>
      <c r="WF50" s="13"/>
      <c r="WG50" s="13"/>
      <c r="WH50" s="13"/>
      <c r="WI50" s="13"/>
      <c r="WJ50" s="13"/>
      <c r="WK50" s="13"/>
      <c r="WL50" s="13"/>
      <c r="WM50" s="13"/>
      <c r="WN50" s="13"/>
      <c r="WO50" s="13"/>
      <c r="WP50" s="13"/>
      <c r="WQ50" s="13"/>
      <c r="WR50" s="13"/>
      <c r="WS50" s="13"/>
      <c r="WT50" s="13"/>
      <c r="WU50" s="13"/>
      <c r="WV50" s="13"/>
      <c r="WW50" s="13"/>
      <c r="WX50" s="13"/>
      <c r="WY50" s="13"/>
      <c r="WZ50" s="13"/>
      <c r="XA50" s="13"/>
      <c r="XB50" s="13"/>
      <c r="XC50" s="13"/>
      <c r="XD50" s="13"/>
      <c r="XE50" s="13"/>
      <c r="XF50" s="13"/>
      <c r="XG50" s="13"/>
      <c r="XH50" s="13"/>
      <c r="XI50" s="13"/>
      <c r="XJ50" s="13"/>
      <c r="XK50" s="13"/>
      <c r="XL50" s="13"/>
      <c r="XM50" s="13"/>
      <c r="XN50" s="13"/>
      <c r="XO50" s="13"/>
      <c r="XP50" s="13"/>
      <c r="XQ50" s="13"/>
      <c r="XR50" s="13"/>
      <c r="XS50" s="13"/>
      <c r="XT50" s="13"/>
      <c r="XU50" s="13"/>
      <c r="XV50" s="13"/>
      <c r="XW50" s="13"/>
      <c r="XX50" s="13"/>
      <c r="XY50" s="13"/>
      <c r="XZ50" s="13"/>
      <c r="YA50" s="13"/>
      <c r="YB50" s="13"/>
      <c r="YC50" s="13"/>
      <c r="YD50" s="13"/>
      <c r="YE50" s="13"/>
      <c r="YF50" s="13"/>
      <c r="YG50" s="13"/>
      <c r="YH50" s="13"/>
      <c r="YI50" s="13"/>
      <c r="YJ50" s="13"/>
      <c r="YK50" s="13"/>
      <c r="YL50" s="13"/>
      <c r="YM50" s="13"/>
      <c r="YN50" s="13"/>
      <c r="YO50" s="13"/>
      <c r="YP50" s="13"/>
      <c r="YQ50" s="13"/>
      <c r="YR50" s="13"/>
      <c r="YS50" s="13"/>
      <c r="YT50" s="13"/>
      <c r="YU50" s="13"/>
      <c r="YV50" s="13"/>
      <c r="YW50" s="13"/>
      <c r="YX50" s="13"/>
      <c r="YY50" s="13"/>
      <c r="YZ50" s="13"/>
      <c r="ZA50" s="13"/>
      <c r="ZB50" s="13"/>
      <c r="ZC50" s="13"/>
      <c r="ZD50" s="13"/>
      <c r="ZE50" s="13"/>
      <c r="ZF50" s="13"/>
      <c r="ZG50" s="13"/>
      <c r="ZH50" s="13"/>
      <c r="ZI50" s="13"/>
      <c r="ZJ50" s="13"/>
      <c r="ZK50" s="13"/>
      <c r="ZL50" s="13"/>
      <c r="ZM50" s="13"/>
      <c r="ZN50" s="13"/>
      <c r="ZO50" s="13"/>
      <c r="ZP50" s="13"/>
      <c r="ZQ50" s="13"/>
      <c r="ZR50" s="13"/>
      <c r="ZS50" s="13"/>
      <c r="ZT50" s="13"/>
      <c r="ZU50" s="13"/>
      <c r="ZV50" s="13"/>
      <c r="ZW50" s="13"/>
      <c r="ZX50" s="13"/>
      <c r="ZY50" s="13"/>
      <c r="ZZ50" s="13"/>
      <c r="AAA50" s="13"/>
      <c r="AAB50" s="13"/>
      <c r="AAC50" s="13"/>
      <c r="AAD50" s="13"/>
      <c r="AAE50" s="13"/>
      <c r="AAF50" s="13"/>
      <c r="AAG50" s="13"/>
      <c r="AAH50" s="13"/>
      <c r="AAI50" s="13"/>
      <c r="AAJ50" s="13"/>
      <c r="AAK50" s="13"/>
      <c r="AAL50" s="13"/>
      <c r="AAM50" s="13"/>
      <c r="AAN50" s="13"/>
      <c r="AAO50" s="13"/>
      <c r="AAP50" s="13"/>
      <c r="AAQ50" s="13"/>
      <c r="AAR50" s="13"/>
      <c r="AAS50" s="13"/>
      <c r="AAT50" s="13"/>
      <c r="AAU50" s="13"/>
      <c r="AAV50" s="13"/>
      <c r="AAW50" s="13"/>
      <c r="AAX50" s="13"/>
      <c r="AAY50" s="13"/>
      <c r="AAZ50" s="13"/>
      <c r="ABA50" s="13"/>
      <c r="ABB50" s="13"/>
      <c r="ABC50" s="13"/>
      <c r="ABD50" s="13"/>
      <c r="ABE50" s="13"/>
      <c r="ABF50" s="13"/>
      <c r="ABG50" s="13"/>
      <c r="ABH50" s="13"/>
      <c r="ABI50" s="13"/>
      <c r="ABJ50" s="13"/>
      <c r="ABK50" s="13"/>
      <c r="ABL50" s="13"/>
      <c r="ABM50" s="13"/>
      <c r="ABN50" s="13"/>
      <c r="ABO50" s="13"/>
      <c r="ABP50" s="13"/>
      <c r="ABQ50" s="13"/>
      <c r="ABR50" s="13"/>
      <c r="ABS50" s="13"/>
      <c r="ABT50" s="13"/>
      <c r="ABU50" s="13"/>
      <c r="ABV50" s="13"/>
      <c r="ABW50" s="13"/>
      <c r="ABX50" s="13"/>
      <c r="ABY50" s="13"/>
      <c r="ABZ50" s="13"/>
      <c r="ACA50" s="13"/>
      <c r="ACB50" s="13"/>
      <c r="ACC50" s="13"/>
      <c r="ACD50" s="13"/>
      <c r="ACE50" s="13"/>
      <c r="ACF50" s="13"/>
      <c r="ACG50" s="13"/>
      <c r="ACH50" s="13"/>
      <c r="ACI50" s="13"/>
      <c r="ACJ50" s="13"/>
      <c r="ACK50" s="13"/>
      <c r="ACL50" s="13"/>
      <c r="ACM50" s="13"/>
      <c r="ACN50" s="13"/>
      <c r="ACO50" s="13"/>
      <c r="ACP50" s="13"/>
      <c r="ACQ50" s="13"/>
      <c r="ACR50" s="13"/>
      <c r="ACS50" s="13"/>
      <c r="ACT50" s="13"/>
      <c r="ACU50" s="13"/>
      <c r="ACV50" s="13"/>
      <c r="ACW50" s="13"/>
      <c r="ACX50" s="13"/>
      <c r="ACY50" s="13"/>
      <c r="ACZ50" s="13"/>
      <c r="ADA50" s="13"/>
      <c r="ADB50" s="13"/>
      <c r="ADC50" s="13"/>
      <c r="ADD50" s="13"/>
      <c r="ADE50" s="13"/>
      <c r="ADF50" s="13"/>
      <c r="ADG50" s="13"/>
      <c r="ADH50" s="13"/>
      <c r="ADI50" s="13"/>
      <c r="ADJ50" s="13"/>
      <c r="ADK50" s="13"/>
      <c r="ADL50" s="13"/>
      <c r="ADM50" s="13"/>
      <c r="ADN50" s="13"/>
      <c r="ADO50" s="13"/>
      <c r="ADP50" s="13"/>
      <c r="ADQ50" s="13"/>
      <c r="ADR50" s="13"/>
      <c r="ADS50" s="13"/>
      <c r="ADT50" s="13"/>
      <c r="ADU50" s="13"/>
      <c r="ADV50" s="13"/>
      <c r="ADW50" s="13"/>
      <c r="ADX50" s="13"/>
      <c r="ADY50" s="13"/>
      <c r="ADZ50" s="13"/>
      <c r="AEA50" s="13"/>
      <c r="AEB50" s="13"/>
      <c r="AEC50" s="13"/>
      <c r="AED50" s="13"/>
      <c r="AEE50" s="13"/>
      <c r="AEF50" s="13"/>
      <c r="AEG50" s="13"/>
      <c r="AEH50" s="13"/>
      <c r="AEI50" s="13"/>
      <c r="AEJ50" s="13"/>
      <c r="AEK50" s="13"/>
      <c r="AEL50" s="13"/>
      <c r="AEM50" s="13"/>
      <c r="AEN50" s="13"/>
      <c r="AEO50" s="13"/>
      <c r="AEP50" s="13"/>
      <c r="AEQ50" s="13"/>
      <c r="AER50" s="13"/>
      <c r="AES50" s="13"/>
      <c r="AET50" s="13"/>
      <c r="AEU50" s="13"/>
      <c r="AEV50" s="13"/>
      <c r="AEW50" s="13"/>
      <c r="AEX50" s="13"/>
      <c r="AEY50" s="13"/>
      <c r="AEZ50" s="13"/>
      <c r="AFA50" s="13"/>
      <c r="AFB50" s="13"/>
      <c r="AFC50" s="13"/>
      <c r="AFD50" s="13"/>
      <c r="AFE50" s="13"/>
      <c r="AFF50" s="13"/>
      <c r="AFG50" s="13"/>
      <c r="AFH50" s="13"/>
      <c r="AFI50" s="13"/>
      <c r="AFJ50" s="13"/>
      <c r="AFK50" s="13"/>
      <c r="AFL50" s="13"/>
      <c r="AFM50" s="13"/>
      <c r="AFN50" s="13"/>
      <c r="AFO50" s="13"/>
      <c r="AFP50" s="13"/>
      <c r="AFQ50" s="13"/>
      <c r="AFR50" s="13"/>
      <c r="AFS50" s="13"/>
      <c r="AFT50" s="13"/>
      <c r="AFU50" s="13"/>
      <c r="AFV50" s="13"/>
      <c r="AFW50" s="13"/>
      <c r="AFX50" s="13"/>
      <c r="AFY50" s="13"/>
      <c r="AFZ50" s="13"/>
      <c r="AGA50" s="13"/>
      <c r="AGB50" s="13"/>
      <c r="AGC50" s="13"/>
      <c r="AGD50" s="13"/>
      <c r="AGE50" s="13"/>
      <c r="AGF50" s="13"/>
      <c r="AGG50" s="13"/>
      <c r="AGH50" s="13"/>
      <c r="AGI50" s="13"/>
      <c r="AGJ50" s="13"/>
      <c r="AGK50" s="13"/>
      <c r="AGL50" s="13"/>
      <c r="AGM50" s="13"/>
      <c r="AGN50" s="13"/>
      <c r="AGO50" s="13"/>
      <c r="AGP50" s="13"/>
      <c r="AGQ50" s="13"/>
      <c r="AGR50" s="13"/>
      <c r="AGS50" s="13"/>
      <c r="AGT50" s="13"/>
      <c r="AGU50" s="13"/>
      <c r="AGV50" s="13"/>
      <c r="AGW50" s="13"/>
      <c r="AGX50" s="13"/>
      <c r="AGY50" s="13"/>
      <c r="AGZ50" s="13"/>
      <c r="AHA50" s="13"/>
      <c r="AHB50" s="13"/>
      <c r="AHC50" s="13"/>
      <c r="AHD50" s="13"/>
      <c r="AHE50" s="13"/>
      <c r="AHF50" s="13"/>
      <c r="AHG50" s="13"/>
      <c r="AHH50" s="13"/>
      <c r="AHI50" s="13"/>
      <c r="AHJ50" s="13"/>
      <c r="AHK50" s="13"/>
      <c r="AHL50" s="13"/>
      <c r="AHM50" s="13"/>
      <c r="AHN50" s="13"/>
      <c r="AHO50" s="13"/>
      <c r="AHP50" s="13"/>
      <c r="AHQ50" s="13"/>
      <c r="AHR50" s="13"/>
      <c r="AHS50" s="13"/>
      <c r="AHT50" s="13"/>
      <c r="AHU50" s="13"/>
      <c r="AHV50" s="13"/>
      <c r="AHW50" s="13"/>
      <c r="AHX50" s="13"/>
      <c r="AHY50" s="13"/>
      <c r="AHZ50" s="13"/>
      <c r="AIA50" s="13"/>
      <c r="AIB50" s="13"/>
      <c r="AIC50" s="13"/>
      <c r="AID50" s="13"/>
      <c r="AIE50" s="13"/>
      <c r="AIF50" s="13"/>
      <c r="AIG50" s="13"/>
      <c r="AIH50" s="13"/>
      <c r="AII50" s="13"/>
      <c r="AIJ50" s="13"/>
      <c r="AIK50" s="13"/>
      <c r="AIL50" s="13"/>
      <c r="AIM50" s="13"/>
      <c r="AIN50" s="13"/>
      <c r="AIO50" s="13"/>
      <c r="AIP50" s="13"/>
      <c r="AIQ50" s="13"/>
      <c r="AIR50" s="13"/>
      <c r="AIS50" s="13"/>
      <c r="AIT50" s="13"/>
      <c r="AIU50" s="13"/>
      <c r="AIV50" s="13"/>
      <c r="AIW50" s="13"/>
      <c r="AIX50" s="13"/>
      <c r="AIY50" s="13"/>
      <c r="AIZ50" s="13"/>
      <c r="AJA50" s="13"/>
      <c r="AJB50" s="13"/>
      <c r="AJC50" s="13"/>
      <c r="AJD50" s="13"/>
      <c r="AJE50" s="13"/>
      <c r="AJF50" s="13"/>
      <c r="AJG50" s="13"/>
      <c r="AJH50" s="13"/>
      <c r="AJI50" s="13"/>
      <c r="AJJ50" s="13"/>
      <c r="AJK50" s="13"/>
      <c r="AJL50" s="13"/>
      <c r="AJM50" s="13"/>
      <c r="AJN50" s="13"/>
      <c r="AJO50" s="13"/>
      <c r="AJP50" s="13"/>
      <c r="AJQ50" s="13"/>
      <c r="AJR50" s="13"/>
      <c r="AJS50" s="13"/>
      <c r="AJT50" s="13"/>
      <c r="AJU50" s="13"/>
      <c r="AJV50" s="13"/>
      <c r="AJW50" s="13"/>
      <c r="AJX50" s="13"/>
      <c r="AJY50" s="13"/>
      <c r="AJZ50" s="13"/>
      <c r="AKA50" s="13"/>
      <c r="AKB50" s="13"/>
      <c r="AKC50" s="13"/>
      <c r="AKD50" s="13"/>
      <c r="AKE50" s="13"/>
      <c r="AKF50" s="13"/>
      <c r="AKG50" s="13"/>
      <c r="AKH50" s="13"/>
      <c r="AKI50" s="13"/>
      <c r="AKJ50" s="13"/>
      <c r="AKK50" s="13"/>
      <c r="AKL50" s="13"/>
      <c r="AKM50" s="13"/>
      <c r="AKN50" s="13"/>
      <c r="AKO50" s="13"/>
      <c r="AKP50" s="13"/>
      <c r="AKQ50" s="13"/>
      <c r="AKR50" s="13"/>
      <c r="AKS50" s="13"/>
      <c r="AKT50" s="13"/>
      <c r="AKU50" s="13"/>
      <c r="AKV50" s="13"/>
      <c r="AKW50" s="13"/>
      <c r="AKX50" s="13"/>
      <c r="AKY50" s="13"/>
      <c r="AKZ50" s="13"/>
      <c r="ALA50" s="13"/>
      <c r="ALB50" s="13"/>
      <c r="ALC50" s="13"/>
      <c r="ALD50" s="13"/>
      <c r="ALE50" s="13"/>
      <c r="ALF50" s="13"/>
      <c r="ALG50" s="13"/>
      <c r="ALH50" s="13"/>
      <c r="ALI50" s="13"/>
      <c r="ALJ50" s="13"/>
      <c r="ALK50" s="13"/>
      <c r="ALL50" s="13"/>
      <c r="ALM50" s="13"/>
      <c r="ALN50" s="13"/>
      <c r="ALO50" s="13"/>
    </row>
    <row r="51" spans="1:1003" x14ac:dyDescent="0.35">
      <c r="A51" s="28" t="s">
        <v>184</v>
      </c>
      <c r="B51" s="18"/>
      <c r="C51" s="18"/>
      <c r="D51" s="18"/>
      <c r="E51" s="20"/>
      <c r="F51" s="18"/>
      <c r="G51" s="18"/>
      <c r="H51" s="18"/>
      <c r="I51" s="18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/>
      <c r="HS51" s="13"/>
      <c r="HT51" s="13"/>
      <c r="HU51" s="13"/>
      <c r="HV51" s="13"/>
      <c r="HW51" s="13"/>
      <c r="HX51" s="13"/>
      <c r="HY51" s="13"/>
      <c r="HZ51" s="13"/>
      <c r="IA51" s="13"/>
      <c r="IB51" s="13"/>
      <c r="IC51" s="13"/>
      <c r="ID51" s="13"/>
      <c r="IE51" s="13"/>
      <c r="IF51" s="13"/>
      <c r="IG51" s="13"/>
      <c r="IH51" s="13"/>
      <c r="II51" s="13"/>
      <c r="IJ51" s="13"/>
      <c r="IK51" s="13"/>
      <c r="IL51" s="13"/>
      <c r="IM51" s="13"/>
      <c r="IN51" s="13"/>
      <c r="IO51" s="13"/>
      <c r="IP51" s="13"/>
      <c r="IQ51" s="13"/>
      <c r="IR51" s="13"/>
      <c r="IS51" s="13"/>
      <c r="IT51" s="13"/>
      <c r="IU51" s="13"/>
      <c r="IV51" s="13"/>
      <c r="IW51" s="13"/>
      <c r="IX51" s="13"/>
      <c r="IY51" s="13"/>
      <c r="IZ51" s="13"/>
      <c r="JA51" s="13"/>
      <c r="JB51" s="13"/>
      <c r="JC51" s="13"/>
      <c r="JD51" s="13"/>
      <c r="JE51" s="13"/>
      <c r="JF51" s="13"/>
      <c r="JG51" s="13"/>
      <c r="JH51" s="13"/>
      <c r="JI51" s="13"/>
      <c r="JJ51" s="13"/>
      <c r="JK51" s="13"/>
      <c r="JL51" s="13"/>
      <c r="JM51" s="13"/>
      <c r="JN51" s="13"/>
      <c r="JO51" s="13"/>
      <c r="JP51" s="13"/>
      <c r="JQ51" s="13"/>
      <c r="JR51" s="13"/>
      <c r="JS51" s="13"/>
      <c r="JT51" s="13"/>
      <c r="JU51" s="13"/>
      <c r="JV51" s="13"/>
      <c r="JW51" s="1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3"/>
      <c r="LX51" s="13"/>
      <c r="LY51" s="13"/>
      <c r="LZ51" s="13"/>
      <c r="MA51" s="13"/>
      <c r="MB51" s="13"/>
      <c r="MC51" s="13"/>
      <c r="MD51" s="13"/>
      <c r="ME51" s="13"/>
      <c r="MF51" s="13"/>
      <c r="MG51" s="13"/>
      <c r="MH51" s="13"/>
      <c r="MI51" s="13"/>
      <c r="MJ51" s="13"/>
      <c r="MK51" s="13"/>
      <c r="ML51" s="13"/>
      <c r="MM51" s="13"/>
      <c r="MN51" s="13"/>
      <c r="MO51" s="13"/>
      <c r="MP51" s="13"/>
      <c r="MQ51" s="13"/>
      <c r="MR51" s="13"/>
      <c r="MS51" s="13"/>
      <c r="MT51" s="13"/>
      <c r="MU51" s="13"/>
      <c r="MV51" s="13"/>
      <c r="MW51" s="13"/>
      <c r="MX51" s="13"/>
      <c r="MY51" s="13"/>
      <c r="MZ51" s="13"/>
      <c r="NA51" s="13"/>
      <c r="NB51" s="13"/>
      <c r="NC51" s="13"/>
      <c r="ND51" s="13"/>
      <c r="NE51" s="13"/>
      <c r="NF51" s="13"/>
      <c r="NG51" s="13"/>
      <c r="NH51" s="13"/>
      <c r="NI51" s="13"/>
      <c r="NJ51" s="13"/>
      <c r="NK51" s="13"/>
      <c r="NL51" s="13"/>
      <c r="NM51" s="13"/>
      <c r="NN51" s="13"/>
      <c r="NO51" s="13"/>
      <c r="NP51" s="13"/>
      <c r="NQ51" s="13"/>
      <c r="NR51" s="13"/>
      <c r="NS51" s="13"/>
      <c r="NT51" s="13"/>
      <c r="NU51" s="13"/>
      <c r="NV51" s="13"/>
      <c r="NW51" s="13"/>
      <c r="NX51" s="13"/>
      <c r="NY51" s="13"/>
      <c r="NZ51" s="13"/>
      <c r="OA51" s="13"/>
      <c r="OB51" s="13"/>
      <c r="OC51" s="13"/>
      <c r="OD51" s="13"/>
      <c r="OE51" s="13"/>
      <c r="OF51" s="13"/>
      <c r="OG51" s="13"/>
      <c r="OH51" s="13"/>
      <c r="OI51" s="13"/>
      <c r="OJ51" s="13"/>
      <c r="OK51" s="13"/>
      <c r="OL51" s="13"/>
      <c r="OM51" s="13"/>
      <c r="ON51" s="13"/>
      <c r="OO51" s="13"/>
      <c r="OP51" s="13"/>
      <c r="OQ51" s="13"/>
      <c r="OR51" s="13"/>
      <c r="OS51" s="13"/>
      <c r="OT51" s="13"/>
      <c r="OU51" s="13"/>
      <c r="OV51" s="13"/>
      <c r="OW51" s="13"/>
      <c r="OX51" s="13"/>
      <c r="OY51" s="13"/>
      <c r="OZ51" s="13"/>
      <c r="PA51" s="13"/>
      <c r="PB51" s="13"/>
      <c r="PC51" s="13"/>
      <c r="PD51" s="13"/>
      <c r="PE51" s="13"/>
      <c r="PF51" s="13"/>
      <c r="PG51" s="13"/>
      <c r="PH51" s="13"/>
      <c r="PI51" s="13"/>
      <c r="PJ51" s="13"/>
      <c r="PK51" s="13"/>
      <c r="PL51" s="13"/>
      <c r="PM51" s="13"/>
      <c r="PN51" s="13"/>
      <c r="PO51" s="13"/>
      <c r="PP51" s="13"/>
      <c r="PQ51" s="13"/>
      <c r="PR51" s="13"/>
      <c r="PS51" s="13"/>
      <c r="PT51" s="13"/>
      <c r="PU51" s="13"/>
      <c r="PV51" s="13"/>
      <c r="PW51" s="13"/>
      <c r="PX51" s="13"/>
      <c r="PY51" s="13"/>
      <c r="PZ51" s="13"/>
      <c r="QA51" s="13"/>
      <c r="QB51" s="13"/>
      <c r="QC51" s="13"/>
      <c r="QD51" s="13"/>
      <c r="QE51" s="13"/>
      <c r="QF51" s="13"/>
      <c r="QG51" s="13"/>
      <c r="QH51" s="13"/>
      <c r="QI51" s="13"/>
      <c r="QJ51" s="13"/>
      <c r="QK51" s="13"/>
      <c r="QL51" s="13"/>
      <c r="QM51" s="13"/>
      <c r="QN51" s="13"/>
      <c r="QO51" s="13"/>
      <c r="QP51" s="13"/>
      <c r="QQ51" s="13"/>
      <c r="QR51" s="13"/>
      <c r="QS51" s="13"/>
      <c r="QT51" s="13"/>
      <c r="QU51" s="13"/>
      <c r="QV51" s="13"/>
      <c r="QW51" s="13"/>
      <c r="QX51" s="13"/>
      <c r="QY51" s="13"/>
      <c r="QZ51" s="13"/>
      <c r="RA51" s="13"/>
      <c r="RB51" s="13"/>
      <c r="RC51" s="13"/>
      <c r="RD51" s="13"/>
      <c r="RE51" s="13"/>
      <c r="RF51" s="13"/>
      <c r="RG51" s="13"/>
      <c r="RH51" s="13"/>
      <c r="RI51" s="13"/>
      <c r="RJ51" s="13"/>
      <c r="RK51" s="13"/>
      <c r="RL51" s="13"/>
      <c r="RM51" s="13"/>
      <c r="RN51" s="13"/>
      <c r="RO51" s="13"/>
      <c r="RP51" s="13"/>
      <c r="RQ51" s="13"/>
      <c r="RR51" s="13"/>
      <c r="RS51" s="13"/>
      <c r="RT51" s="13"/>
      <c r="RU51" s="13"/>
      <c r="RV51" s="13"/>
      <c r="RW51" s="13"/>
      <c r="RX51" s="13"/>
      <c r="RY51" s="13"/>
      <c r="RZ51" s="13"/>
      <c r="SA51" s="13"/>
      <c r="SB51" s="13"/>
      <c r="SC51" s="13"/>
      <c r="SD51" s="13"/>
      <c r="SE51" s="13"/>
      <c r="SF51" s="13"/>
      <c r="SG51" s="13"/>
      <c r="SH51" s="13"/>
      <c r="SI51" s="13"/>
      <c r="SJ51" s="13"/>
      <c r="SK51" s="13"/>
      <c r="SL51" s="13"/>
      <c r="SM51" s="13"/>
      <c r="SN51" s="13"/>
      <c r="SO51" s="13"/>
      <c r="SP51" s="13"/>
      <c r="SQ51" s="13"/>
      <c r="SR51" s="13"/>
      <c r="SS51" s="13"/>
      <c r="ST51" s="13"/>
      <c r="SU51" s="13"/>
      <c r="SV51" s="13"/>
      <c r="SW51" s="13"/>
      <c r="SX51" s="13"/>
      <c r="SY51" s="13"/>
      <c r="SZ51" s="13"/>
      <c r="TA51" s="13"/>
      <c r="TB51" s="13"/>
      <c r="TC51" s="13"/>
      <c r="TD51" s="13"/>
      <c r="TE51" s="13"/>
      <c r="TF51" s="13"/>
      <c r="TG51" s="13"/>
      <c r="TH51" s="13"/>
      <c r="TI51" s="13"/>
      <c r="TJ51" s="13"/>
      <c r="TK51" s="13"/>
      <c r="TL51" s="13"/>
      <c r="TM51" s="13"/>
      <c r="TN51" s="13"/>
      <c r="TO51" s="13"/>
      <c r="TP51" s="13"/>
      <c r="TQ51" s="13"/>
      <c r="TR51" s="13"/>
      <c r="TS51" s="13"/>
      <c r="TT51" s="13"/>
      <c r="TU51" s="13"/>
      <c r="TV51" s="13"/>
      <c r="TW51" s="13"/>
      <c r="TX51" s="13"/>
      <c r="TY51" s="13"/>
      <c r="TZ51" s="13"/>
      <c r="UA51" s="13"/>
      <c r="UB51" s="13"/>
      <c r="UC51" s="13"/>
      <c r="UD51" s="13"/>
      <c r="UE51" s="13"/>
      <c r="UF51" s="13"/>
      <c r="UG51" s="13"/>
      <c r="UH51" s="13"/>
      <c r="UI51" s="13"/>
      <c r="UJ51" s="13"/>
      <c r="UK51" s="13"/>
      <c r="UL51" s="13"/>
      <c r="UM51" s="13"/>
      <c r="UN51" s="13"/>
      <c r="UO51" s="13"/>
      <c r="UP51" s="13"/>
      <c r="UQ51" s="13"/>
      <c r="UR51" s="13"/>
      <c r="US51" s="13"/>
      <c r="UT51" s="13"/>
      <c r="UU51" s="13"/>
      <c r="UV51" s="13"/>
      <c r="UW51" s="13"/>
      <c r="UX51" s="13"/>
      <c r="UY51" s="13"/>
      <c r="UZ51" s="13"/>
      <c r="VA51" s="13"/>
      <c r="VB51" s="13"/>
      <c r="VC51" s="13"/>
      <c r="VD51" s="13"/>
      <c r="VE51" s="13"/>
      <c r="VF51" s="13"/>
      <c r="VG51" s="13"/>
      <c r="VH51" s="13"/>
      <c r="VI51" s="13"/>
      <c r="VJ51" s="13"/>
      <c r="VK51" s="13"/>
      <c r="VL51" s="13"/>
      <c r="VM51" s="13"/>
      <c r="VN51" s="13"/>
      <c r="VO51" s="13"/>
      <c r="VP51" s="13"/>
      <c r="VQ51" s="13"/>
      <c r="VR51" s="13"/>
      <c r="VS51" s="13"/>
      <c r="VT51" s="13"/>
      <c r="VU51" s="13"/>
      <c r="VV51" s="13"/>
      <c r="VW51" s="13"/>
      <c r="VX51" s="13"/>
      <c r="VY51" s="13"/>
      <c r="VZ51" s="13"/>
      <c r="WA51" s="13"/>
      <c r="WB51" s="13"/>
      <c r="WC51" s="13"/>
      <c r="WD51" s="13"/>
      <c r="WE51" s="13"/>
      <c r="WF51" s="13"/>
      <c r="WG51" s="13"/>
      <c r="WH51" s="13"/>
      <c r="WI51" s="13"/>
      <c r="WJ51" s="13"/>
      <c r="WK51" s="13"/>
      <c r="WL51" s="13"/>
      <c r="WM51" s="13"/>
      <c r="WN51" s="13"/>
      <c r="WO51" s="13"/>
      <c r="WP51" s="13"/>
      <c r="WQ51" s="13"/>
      <c r="WR51" s="13"/>
      <c r="WS51" s="13"/>
      <c r="WT51" s="13"/>
      <c r="WU51" s="13"/>
      <c r="WV51" s="13"/>
      <c r="WW51" s="13"/>
      <c r="WX51" s="13"/>
      <c r="WY51" s="13"/>
      <c r="WZ51" s="13"/>
      <c r="XA51" s="13"/>
      <c r="XB51" s="13"/>
      <c r="XC51" s="13"/>
      <c r="XD51" s="13"/>
      <c r="XE51" s="13"/>
      <c r="XF51" s="13"/>
      <c r="XG51" s="13"/>
      <c r="XH51" s="13"/>
      <c r="XI51" s="13"/>
      <c r="XJ51" s="13"/>
      <c r="XK51" s="13"/>
      <c r="XL51" s="13"/>
      <c r="XM51" s="13"/>
      <c r="XN51" s="13"/>
      <c r="XO51" s="13"/>
      <c r="XP51" s="13"/>
      <c r="XQ51" s="13"/>
      <c r="XR51" s="13"/>
      <c r="XS51" s="13"/>
      <c r="XT51" s="13"/>
      <c r="XU51" s="13"/>
      <c r="XV51" s="13"/>
      <c r="XW51" s="13"/>
      <c r="XX51" s="13"/>
      <c r="XY51" s="13"/>
      <c r="XZ51" s="13"/>
      <c r="YA51" s="13"/>
      <c r="YB51" s="13"/>
      <c r="YC51" s="13"/>
      <c r="YD51" s="13"/>
      <c r="YE51" s="13"/>
      <c r="YF51" s="13"/>
      <c r="YG51" s="13"/>
      <c r="YH51" s="13"/>
      <c r="YI51" s="13"/>
      <c r="YJ51" s="13"/>
      <c r="YK51" s="13"/>
      <c r="YL51" s="13"/>
      <c r="YM51" s="13"/>
      <c r="YN51" s="13"/>
      <c r="YO51" s="13"/>
      <c r="YP51" s="13"/>
      <c r="YQ51" s="13"/>
      <c r="YR51" s="13"/>
      <c r="YS51" s="13"/>
      <c r="YT51" s="13"/>
      <c r="YU51" s="13"/>
      <c r="YV51" s="13"/>
      <c r="YW51" s="13"/>
      <c r="YX51" s="13"/>
      <c r="YY51" s="13"/>
      <c r="YZ51" s="13"/>
      <c r="ZA51" s="13"/>
      <c r="ZB51" s="13"/>
      <c r="ZC51" s="13"/>
      <c r="ZD51" s="13"/>
      <c r="ZE51" s="13"/>
      <c r="ZF51" s="13"/>
      <c r="ZG51" s="13"/>
      <c r="ZH51" s="13"/>
      <c r="ZI51" s="13"/>
      <c r="ZJ51" s="13"/>
      <c r="ZK51" s="13"/>
      <c r="ZL51" s="13"/>
      <c r="ZM51" s="13"/>
      <c r="ZN51" s="13"/>
      <c r="ZO51" s="13"/>
      <c r="ZP51" s="13"/>
      <c r="ZQ51" s="13"/>
      <c r="ZR51" s="13"/>
      <c r="ZS51" s="13"/>
      <c r="ZT51" s="13"/>
      <c r="ZU51" s="13"/>
      <c r="ZV51" s="13"/>
      <c r="ZW51" s="13"/>
      <c r="ZX51" s="13"/>
      <c r="ZY51" s="13"/>
      <c r="ZZ51" s="13"/>
      <c r="AAA51" s="13"/>
      <c r="AAB51" s="13"/>
      <c r="AAC51" s="13"/>
      <c r="AAD51" s="13"/>
      <c r="AAE51" s="13"/>
      <c r="AAF51" s="13"/>
      <c r="AAG51" s="13"/>
      <c r="AAH51" s="13"/>
      <c r="AAI51" s="13"/>
      <c r="AAJ51" s="13"/>
      <c r="AAK51" s="13"/>
      <c r="AAL51" s="13"/>
      <c r="AAM51" s="13"/>
      <c r="AAN51" s="13"/>
      <c r="AAO51" s="13"/>
      <c r="AAP51" s="13"/>
      <c r="AAQ51" s="13"/>
      <c r="AAR51" s="13"/>
      <c r="AAS51" s="13"/>
      <c r="AAT51" s="13"/>
      <c r="AAU51" s="13"/>
      <c r="AAV51" s="13"/>
      <c r="AAW51" s="13"/>
      <c r="AAX51" s="13"/>
      <c r="AAY51" s="13"/>
      <c r="AAZ51" s="13"/>
      <c r="ABA51" s="13"/>
      <c r="ABB51" s="13"/>
      <c r="ABC51" s="13"/>
      <c r="ABD51" s="13"/>
      <c r="ABE51" s="13"/>
      <c r="ABF51" s="13"/>
      <c r="ABG51" s="13"/>
      <c r="ABH51" s="13"/>
      <c r="ABI51" s="13"/>
      <c r="ABJ51" s="13"/>
      <c r="ABK51" s="13"/>
      <c r="ABL51" s="13"/>
      <c r="ABM51" s="13"/>
      <c r="ABN51" s="13"/>
      <c r="ABO51" s="13"/>
      <c r="ABP51" s="13"/>
      <c r="ABQ51" s="13"/>
      <c r="ABR51" s="13"/>
      <c r="ABS51" s="13"/>
      <c r="ABT51" s="13"/>
      <c r="ABU51" s="13"/>
      <c r="ABV51" s="13"/>
      <c r="ABW51" s="13"/>
      <c r="ABX51" s="13"/>
      <c r="ABY51" s="13"/>
      <c r="ABZ51" s="13"/>
      <c r="ACA51" s="13"/>
      <c r="ACB51" s="13"/>
      <c r="ACC51" s="13"/>
      <c r="ACD51" s="13"/>
      <c r="ACE51" s="13"/>
      <c r="ACF51" s="13"/>
      <c r="ACG51" s="13"/>
      <c r="ACH51" s="13"/>
      <c r="ACI51" s="13"/>
      <c r="ACJ51" s="13"/>
      <c r="ACK51" s="13"/>
      <c r="ACL51" s="13"/>
      <c r="ACM51" s="13"/>
      <c r="ACN51" s="13"/>
      <c r="ACO51" s="13"/>
      <c r="ACP51" s="13"/>
      <c r="ACQ51" s="13"/>
      <c r="ACR51" s="13"/>
      <c r="ACS51" s="13"/>
      <c r="ACT51" s="13"/>
      <c r="ACU51" s="13"/>
      <c r="ACV51" s="13"/>
      <c r="ACW51" s="13"/>
      <c r="ACX51" s="13"/>
      <c r="ACY51" s="13"/>
      <c r="ACZ51" s="13"/>
      <c r="ADA51" s="13"/>
      <c r="ADB51" s="13"/>
      <c r="ADC51" s="13"/>
      <c r="ADD51" s="13"/>
      <c r="ADE51" s="13"/>
      <c r="ADF51" s="13"/>
      <c r="ADG51" s="13"/>
      <c r="ADH51" s="13"/>
      <c r="ADI51" s="13"/>
      <c r="ADJ51" s="13"/>
      <c r="ADK51" s="13"/>
      <c r="ADL51" s="13"/>
      <c r="ADM51" s="13"/>
      <c r="ADN51" s="13"/>
      <c r="ADO51" s="13"/>
      <c r="ADP51" s="13"/>
      <c r="ADQ51" s="13"/>
      <c r="ADR51" s="13"/>
      <c r="ADS51" s="13"/>
      <c r="ADT51" s="13"/>
      <c r="ADU51" s="13"/>
      <c r="ADV51" s="13"/>
      <c r="ADW51" s="13"/>
      <c r="ADX51" s="13"/>
      <c r="ADY51" s="13"/>
      <c r="ADZ51" s="13"/>
      <c r="AEA51" s="13"/>
      <c r="AEB51" s="13"/>
      <c r="AEC51" s="13"/>
      <c r="AED51" s="13"/>
      <c r="AEE51" s="13"/>
      <c r="AEF51" s="13"/>
      <c r="AEG51" s="13"/>
      <c r="AEH51" s="13"/>
      <c r="AEI51" s="13"/>
      <c r="AEJ51" s="13"/>
      <c r="AEK51" s="13"/>
      <c r="AEL51" s="13"/>
      <c r="AEM51" s="13"/>
      <c r="AEN51" s="13"/>
      <c r="AEO51" s="13"/>
      <c r="AEP51" s="13"/>
      <c r="AEQ51" s="13"/>
      <c r="AER51" s="13"/>
      <c r="AES51" s="13"/>
      <c r="AET51" s="13"/>
      <c r="AEU51" s="13"/>
      <c r="AEV51" s="13"/>
      <c r="AEW51" s="13"/>
      <c r="AEX51" s="13"/>
      <c r="AEY51" s="13"/>
      <c r="AEZ51" s="13"/>
      <c r="AFA51" s="13"/>
      <c r="AFB51" s="13"/>
      <c r="AFC51" s="13"/>
      <c r="AFD51" s="13"/>
      <c r="AFE51" s="13"/>
      <c r="AFF51" s="13"/>
      <c r="AFG51" s="13"/>
      <c r="AFH51" s="13"/>
      <c r="AFI51" s="13"/>
      <c r="AFJ51" s="13"/>
      <c r="AFK51" s="13"/>
      <c r="AFL51" s="13"/>
      <c r="AFM51" s="13"/>
      <c r="AFN51" s="13"/>
      <c r="AFO51" s="13"/>
      <c r="AFP51" s="13"/>
      <c r="AFQ51" s="13"/>
      <c r="AFR51" s="13"/>
      <c r="AFS51" s="13"/>
      <c r="AFT51" s="13"/>
      <c r="AFU51" s="13"/>
      <c r="AFV51" s="13"/>
      <c r="AFW51" s="13"/>
      <c r="AFX51" s="13"/>
      <c r="AFY51" s="13"/>
      <c r="AFZ51" s="13"/>
      <c r="AGA51" s="13"/>
      <c r="AGB51" s="13"/>
      <c r="AGC51" s="13"/>
      <c r="AGD51" s="13"/>
      <c r="AGE51" s="13"/>
      <c r="AGF51" s="13"/>
      <c r="AGG51" s="13"/>
      <c r="AGH51" s="13"/>
      <c r="AGI51" s="13"/>
      <c r="AGJ51" s="13"/>
      <c r="AGK51" s="13"/>
      <c r="AGL51" s="13"/>
      <c r="AGM51" s="13"/>
      <c r="AGN51" s="13"/>
      <c r="AGO51" s="13"/>
      <c r="AGP51" s="13"/>
      <c r="AGQ51" s="13"/>
      <c r="AGR51" s="13"/>
      <c r="AGS51" s="13"/>
      <c r="AGT51" s="13"/>
      <c r="AGU51" s="13"/>
      <c r="AGV51" s="13"/>
      <c r="AGW51" s="13"/>
      <c r="AGX51" s="13"/>
      <c r="AGY51" s="13"/>
      <c r="AGZ51" s="13"/>
      <c r="AHA51" s="13"/>
      <c r="AHB51" s="13"/>
      <c r="AHC51" s="13"/>
      <c r="AHD51" s="13"/>
      <c r="AHE51" s="13"/>
      <c r="AHF51" s="13"/>
      <c r="AHG51" s="13"/>
      <c r="AHH51" s="13"/>
      <c r="AHI51" s="13"/>
      <c r="AHJ51" s="13"/>
      <c r="AHK51" s="13"/>
      <c r="AHL51" s="13"/>
      <c r="AHM51" s="13"/>
      <c r="AHN51" s="13"/>
      <c r="AHO51" s="13"/>
      <c r="AHP51" s="13"/>
      <c r="AHQ51" s="13"/>
      <c r="AHR51" s="13"/>
      <c r="AHS51" s="13"/>
      <c r="AHT51" s="13"/>
      <c r="AHU51" s="13"/>
      <c r="AHV51" s="13"/>
      <c r="AHW51" s="13"/>
      <c r="AHX51" s="13"/>
      <c r="AHY51" s="13"/>
      <c r="AHZ51" s="13"/>
      <c r="AIA51" s="13"/>
      <c r="AIB51" s="13"/>
      <c r="AIC51" s="13"/>
      <c r="AID51" s="13"/>
      <c r="AIE51" s="13"/>
      <c r="AIF51" s="13"/>
      <c r="AIG51" s="13"/>
      <c r="AIH51" s="13"/>
      <c r="AII51" s="13"/>
      <c r="AIJ51" s="13"/>
      <c r="AIK51" s="13"/>
      <c r="AIL51" s="13"/>
      <c r="AIM51" s="13"/>
      <c r="AIN51" s="13"/>
      <c r="AIO51" s="13"/>
      <c r="AIP51" s="13"/>
      <c r="AIQ51" s="13"/>
      <c r="AIR51" s="13"/>
      <c r="AIS51" s="13"/>
      <c r="AIT51" s="13"/>
      <c r="AIU51" s="13"/>
      <c r="AIV51" s="13"/>
      <c r="AIW51" s="13"/>
      <c r="AIX51" s="13"/>
      <c r="AIY51" s="13"/>
      <c r="AIZ51" s="13"/>
      <c r="AJA51" s="13"/>
      <c r="AJB51" s="13"/>
      <c r="AJC51" s="13"/>
      <c r="AJD51" s="13"/>
      <c r="AJE51" s="13"/>
      <c r="AJF51" s="13"/>
      <c r="AJG51" s="13"/>
      <c r="AJH51" s="13"/>
      <c r="AJI51" s="13"/>
      <c r="AJJ51" s="13"/>
      <c r="AJK51" s="13"/>
      <c r="AJL51" s="13"/>
      <c r="AJM51" s="13"/>
      <c r="AJN51" s="13"/>
      <c r="AJO51" s="13"/>
      <c r="AJP51" s="13"/>
      <c r="AJQ51" s="13"/>
      <c r="AJR51" s="13"/>
      <c r="AJS51" s="13"/>
      <c r="AJT51" s="13"/>
      <c r="AJU51" s="13"/>
      <c r="AJV51" s="13"/>
      <c r="AJW51" s="13"/>
      <c r="AJX51" s="13"/>
      <c r="AJY51" s="13"/>
      <c r="AJZ51" s="13"/>
      <c r="AKA51" s="13"/>
      <c r="AKB51" s="13"/>
      <c r="AKC51" s="13"/>
      <c r="AKD51" s="13"/>
      <c r="AKE51" s="13"/>
      <c r="AKF51" s="13"/>
      <c r="AKG51" s="13"/>
      <c r="AKH51" s="13"/>
      <c r="AKI51" s="13"/>
      <c r="AKJ51" s="13"/>
      <c r="AKK51" s="13"/>
      <c r="AKL51" s="13"/>
      <c r="AKM51" s="13"/>
      <c r="AKN51" s="13"/>
      <c r="AKO51" s="13"/>
      <c r="AKP51" s="13"/>
      <c r="AKQ51" s="13"/>
      <c r="AKR51" s="13"/>
      <c r="AKS51" s="13"/>
      <c r="AKT51" s="13"/>
      <c r="AKU51" s="13"/>
      <c r="AKV51" s="13"/>
      <c r="AKW51" s="13"/>
      <c r="AKX51" s="13"/>
      <c r="AKY51" s="13"/>
      <c r="AKZ51" s="13"/>
      <c r="ALA51" s="13"/>
      <c r="ALB51" s="13"/>
      <c r="ALC51" s="13"/>
      <c r="ALD51" s="13"/>
      <c r="ALE51" s="13"/>
      <c r="ALF51" s="13"/>
      <c r="ALG51" s="13"/>
      <c r="ALH51" s="13"/>
      <c r="ALI51" s="13"/>
      <c r="ALJ51" s="13"/>
      <c r="ALK51" s="13"/>
      <c r="ALL51" s="13"/>
      <c r="ALM51" s="13"/>
      <c r="ALN51" s="13"/>
      <c r="ALO51" s="13"/>
    </row>
  </sheetData>
  <pageMargins left="0.85" right="0.5" top="0.75" bottom="0.17" header="0.17" footer="0.17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I35"/>
  <sheetViews>
    <sheetView topLeftCell="A22" zoomScaleNormal="100" zoomScaleSheetLayoutView="100" workbookViewId="0">
      <selection activeCell="G9" sqref="G9"/>
    </sheetView>
  </sheetViews>
  <sheetFormatPr defaultColWidth="9.109375" defaultRowHeight="14.4" x14ac:dyDescent="0.35"/>
  <cols>
    <col min="1" max="1" width="5" style="2" customWidth="1"/>
    <col min="2" max="2" width="40.5546875" style="2" customWidth="1"/>
    <col min="3" max="3" width="29.21875" style="15" customWidth="1"/>
    <col min="4" max="4" width="13.33203125" style="73" customWidth="1"/>
    <col min="5" max="5" width="0.5546875" style="2" customWidth="1"/>
    <col min="6" max="6" width="12.109375" style="77" hidden="1" customWidth="1"/>
    <col min="7" max="7" width="12.5546875" style="78" customWidth="1"/>
    <col min="8" max="8" width="9.109375" style="2"/>
    <col min="9" max="9" width="15.33203125" style="2" bestFit="1" customWidth="1"/>
    <col min="10" max="16384" width="9.109375" style="2"/>
  </cols>
  <sheetData>
    <row r="1" spans="1:9" x14ac:dyDescent="0.35">
      <c r="A1" s="1" t="s">
        <v>149</v>
      </c>
      <c r="B1" s="34"/>
      <c r="C1" s="34"/>
      <c r="D1" s="153" t="s">
        <v>66</v>
      </c>
      <c r="E1" s="34"/>
      <c r="F1" s="38"/>
      <c r="G1" s="66"/>
    </row>
    <row r="2" spans="1:9" x14ac:dyDescent="0.35">
      <c r="A2" s="30" t="s">
        <v>78</v>
      </c>
      <c r="B2" s="35"/>
      <c r="C2" s="35"/>
      <c r="D2" s="81"/>
      <c r="E2" s="67"/>
      <c r="F2" s="38"/>
      <c r="G2" s="66"/>
    </row>
    <row r="3" spans="1:9" x14ac:dyDescent="0.35">
      <c r="A3" s="11" t="s">
        <v>166</v>
      </c>
      <c r="B3" s="35"/>
      <c r="C3" s="35"/>
      <c r="D3" s="9">
        <v>2025</v>
      </c>
      <c r="E3" s="67"/>
      <c r="F3" s="38"/>
      <c r="G3" s="66"/>
    </row>
    <row r="4" spans="1:9" x14ac:dyDescent="0.35">
      <c r="A4" s="36"/>
      <c r="B4" s="37"/>
      <c r="C4" s="36"/>
      <c r="D4" s="85" t="s">
        <v>11</v>
      </c>
      <c r="E4" s="37"/>
      <c r="F4" s="68" t="s">
        <v>10</v>
      </c>
      <c r="G4" s="69"/>
    </row>
    <row r="5" spans="1:9" x14ac:dyDescent="0.35">
      <c r="A5" s="36"/>
      <c r="B5" s="36"/>
      <c r="C5" s="36"/>
      <c r="D5" s="2"/>
      <c r="E5" s="36"/>
      <c r="F5" s="68" t="s">
        <v>11</v>
      </c>
      <c r="G5" s="69"/>
    </row>
    <row r="6" spans="1:9" x14ac:dyDescent="0.35">
      <c r="A6" s="3">
        <v>4</v>
      </c>
      <c r="B6" s="1" t="s">
        <v>68</v>
      </c>
      <c r="C6" s="3"/>
      <c r="E6" s="1"/>
      <c r="F6" s="51"/>
      <c r="G6" s="70"/>
    </row>
    <row r="7" spans="1:9" x14ac:dyDescent="0.35">
      <c r="A7" s="3"/>
      <c r="B7" s="2" t="s">
        <v>148</v>
      </c>
      <c r="D7" s="73">
        <f>+TB!C18</f>
        <v>2328236</v>
      </c>
      <c r="E7" s="1"/>
      <c r="F7" s="51"/>
      <c r="G7" s="70"/>
    </row>
    <row r="8" spans="1:9" ht="15" thickBot="1" x14ac:dyDescent="0.4">
      <c r="D8" s="116">
        <f>D7</f>
        <v>2328236</v>
      </c>
      <c r="F8" s="71"/>
      <c r="G8" s="72"/>
      <c r="I8" s="73"/>
    </row>
    <row r="9" spans="1:9" ht="15" thickTop="1" x14ac:dyDescent="0.35">
      <c r="D9" s="121"/>
      <c r="F9" s="60"/>
      <c r="G9" s="72"/>
      <c r="I9" s="73"/>
    </row>
    <row r="10" spans="1:9" x14ac:dyDescent="0.35">
      <c r="A10" s="3">
        <v>5</v>
      </c>
      <c r="B10" s="1" t="s">
        <v>12</v>
      </c>
      <c r="C10" s="3"/>
      <c r="E10" s="1"/>
      <c r="F10" s="51"/>
      <c r="G10" s="70"/>
    </row>
    <row r="11" spans="1:9" x14ac:dyDescent="0.35">
      <c r="A11" s="3"/>
      <c r="B11" s="2" t="s">
        <v>167</v>
      </c>
      <c r="C11" s="3"/>
      <c r="D11" s="73">
        <f>TB!B20</f>
        <v>1220000</v>
      </c>
      <c r="E11" s="1"/>
      <c r="F11" s="51"/>
      <c r="G11" s="70"/>
    </row>
    <row r="12" spans="1:9" x14ac:dyDescent="0.35">
      <c r="A12" s="3"/>
      <c r="B12" s="2" t="s">
        <v>135</v>
      </c>
      <c r="C12" s="76"/>
      <c r="D12" s="120" t="e">
        <f>TB!#REF!</f>
        <v>#REF!</v>
      </c>
      <c r="E12" s="1"/>
      <c r="F12" s="38"/>
      <c r="G12" s="70"/>
    </row>
    <row r="13" spans="1:9" x14ac:dyDescent="0.35">
      <c r="A13" s="3"/>
      <c r="B13" s="2" t="s">
        <v>164</v>
      </c>
      <c r="C13" s="76"/>
      <c r="D13" s="120" t="e">
        <f>TB!#REF!</f>
        <v>#REF!</v>
      </c>
      <c r="E13" s="1"/>
      <c r="F13" s="38"/>
      <c r="G13" s="70"/>
    </row>
    <row r="14" spans="1:9" x14ac:dyDescent="0.35">
      <c r="A14" s="3"/>
      <c r="B14" s="2" t="s">
        <v>161</v>
      </c>
      <c r="C14" s="76"/>
      <c r="D14" s="120" t="e">
        <f>TB!#REF!</f>
        <v>#REF!</v>
      </c>
      <c r="E14" s="1"/>
      <c r="F14" s="38"/>
      <c r="G14" s="70"/>
    </row>
    <row r="15" spans="1:9" x14ac:dyDescent="0.35">
      <c r="A15" s="3"/>
      <c r="B15" s="2" t="s">
        <v>147</v>
      </c>
      <c r="C15" s="76"/>
      <c r="D15" s="120" t="e">
        <f>+TB!#REF!</f>
        <v>#REF!</v>
      </c>
      <c r="E15" s="1"/>
      <c r="F15" s="38"/>
      <c r="G15" s="70"/>
    </row>
    <row r="16" spans="1:9" x14ac:dyDescent="0.35">
      <c r="A16" s="3"/>
      <c r="B16" s="2" t="s">
        <v>163</v>
      </c>
      <c r="C16" s="76"/>
      <c r="D16" s="120" t="e">
        <f>+TB!#REF!+TB!#REF!</f>
        <v>#REF!</v>
      </c>
      <c r="E16" s="1"/>
      <c r="F16" s="38"/>
      <c r="G16" s="70"/>
    </row>
    <row r="17" spans="1:7" x14ac:dyDescent="0.35">
      <c r="A17" s="3"/>
      <c r="B17" s="2" t="s">
        <v>106</v>
      </c>
      <c r="C17" s="76"/>
      <c r="D17" s="120" t="e">
        <f>TB!#REF!</f>
        <v>#REF!</v>
      </c>
      <c r="E17" s="1"/>
      <c r="F17" s="38"/>
      <c r="G17" s="70"/>
    </row>
    <row r="18" spans="1:7" x14ac:dyDescent="0.35">
      <c r="A18" s="3"/>
      <c r="B18" s="2" t="s">
        <v>136</v>
      </c>
      <c r="C18" s="76"/>
      <c r="D18" s="120" t="e">
        <f>TB!#REF!</f>
        <v>#REF!</v>
      </c>
      <c r="E18" s="1"/>
      <c r="F18" s="38"/>
      <c r="G18" s="70"/>
    </row>
    <row r="19" spans="1:7" x14ac:dyDescent="0.35">
      <c r="A19" s="3"/>
      <c r="B19" s="2" t="s">
        <v>137</v>
      </c>
      <c r="C19" s="76"/>
      <c r="D19" s="120" t="e">
        <f>TB!#REF!</f>
        <v>#REF!</v>
      </c>
      <c r="E19" s="1"/>
      <c r="F19" s="38"/>
      <c r="G19" s="70"/>
    </row>
    <row r="20" spans="1:7" x14ac:dyDescent="0.35">
      <c r="A20" s="3"/>
      <c r="B20" s="2" t="s">
        <v>153</v>
      </c>
      <c r="C20" s="76"/>
      <c r="D20" s="120" t="e">
        <f>TB!#REF!</f>
        <v>#REF!</v>
      </c>
      <c r="E20" s="1"/>
      <c r="F20" s="38"/>
      <c r="G20" s="70"/>
    </row>
    <row r="21" spans="1:7" x14ac:dyDescent="0.35">
      <c r="A21" s="3"/>
      <c r="B21" s="2" t="s">
        <v>168</v>
      </c>
      <c r="C21" s="76"/>
      <c r="D21" s="120" t="e">
        <f>TB!#REF!</f>
        <v>#REF!</v>
      </c>
      <c r="E21" s="1"/>
      <c r="F21" s="38"/>
      <c r="G21" s="70"/>
    </row>
    <row r="22" spans="1:7" x14ac:dyDescent="0.35">
      <c r="A22" s="3"/>
      <c r="B22" s="2" t="s">
        <v>138</v>
      </c>
      <c r="C22" s="76"/>
      <c r="D22" s="120" t="e">
        <f>TB!#REF!</f>
        <v>#REF!</v>
      </c>
      <c r="E22" s="1"/>
      <c r="F22" s="38"/>
      <c r="G22" s="70"/>
    </row>
    <row r="23" spans="1:7" x14ac:dyDescent="0.35">
      <c r="A23" s="3"/>
      <c r="B23" s="2" t="s">
        <v>99</v>
      </c>
      <c r="C23" s="76"/>
      <c r="D23" s="120" t="e">
        <f>TB!#REF!</f>
        <v>#REF!</v>
      </c>
      <c r="E23" s="1"/>
      <c r="F23" s="38"/>
      <c r="G23" s="70"/>
    </row>
    <row r="24" spans="1:7" x14ac:dyDescent="0.35">
      <c r="A24" s="3"/>
      <c r="B24" s="2" t="s">
        <v>139</v>
      </c>
      <c r="C24" s="76"/>
      <c r="D24" s="120">
        <f>+TB!B22</f>
        <v>15000</v>
      </c>
      <c r="E24" s="1"/>
      <c r="F24" s="38"/>
      <c r="G24" s="70"/>
    </row>
    <row r="25" spans="1:7" x14ac:dyDescent="0.35">
      <c r="A25" s="3"/>
      <c r="B25" s="2" t="s">
        <v>100</v>
      </c>
      <c r="C25" s="76"/>
      <c r="D25" s="120">
        <f>+TB!B23</f>
        <v>25000</v>
      </c>
      <c r="E25" s="1"/>
      <c r="F25" s="38"/>
      <c r="G25" s="70"/>
    </row>
    <row r="26" spans="1:7" ht="15" thickBot="1" x14ac:dyDescent="0.4">
      <c r="D26" s="116" t="e">
        <f>SUM(D11:D25)</f>
        <v>#REF!</v>
      </c>
      <c r="E26" s="46"/>
      <c r="F26" s="52"/>
      <c r="G26" s="75"/>
    </row>
    <row r="27" spans="1:7" ht="14.25" customHeight="1" thickTop="1" x14ac:dyDescent="0.35">
      <c r="B27" s="6"/>
      <c r="C27" s="76"/>
      <c r="D27" s="120"/>
      <c r="F27" s="38"/>
      <c r="G27" s="66"/>
    </row>
    <row r="28" spans="1:7" x14ac:dyDescent="0.35">
      <c r="A28" s="3">
        <v>6</v>
      </c>
      <c r="B28" s="1" t="s">
        <v>34</v>
      </c>
      <c r="C28" s="3"/>
      <c r="D28" s="2"/>
    </row>
    <row r="29" spans="1:7" x14ac:dyDescent="0.35">
      <c r="B29" s="2" t="s">
        <v>152</v>
      </c>
      <c r="C29" s="3"/>
      <c r="D29" s="121" t="e">
        <f>+TB!#REF!</f>
        <v>#REF!</v>
      </c>
    </row>
    <row r="30" spans="1:7" ht="15" thickBot="1" x14ac:dyDescent="0.4">
      <c r="B30" s="1"/>
      <c r="C30" s="3"/>
      <c r="D30" s="116" t="e">
        <f>SUM(D29)</f>
        <v>#REF!</v>
      </c>
    </row>
    <row r="31" spans="1:7" ht="15" thickTop="1" x14ac:dyDescent="0.35">
      <c r="B31" s="1"/>
      <c r="C31" s="3"/>
      <c r="D31" s="121"/>
    </row>
    <row r="32" spans="1:7" x14ac:dyDescent="0.35">
      <c r="A32" s="9">
        <v>7</v>
      </c>
      <c r="B32" s="30" t="s">
        <v>35</v>
      </c>
    </row>
    <row r="33" spans="1:4" x14ac:dyDescent="0.35">
      <c r="A33" s="65"/>
      <c r="B33" s="13" t="s">
        <v>103</v>
      </c>
      <c r="D33" s="115">
        <f>TB!B21</f>
        <v>1000</v>
      </c>
    </row>
    <row r="34" spans="1:4" ht="15" thickBot="1" x14ac:dyDescent="0.4">
      <c r="D34" s="117">
        <f>+D33</f>
        <v>1000</v>
      </c>
    </row>
    <row r="35" spans="1:4" ht="15" thickTop="1" x14ac:dyDescent="0.35"/>
  </sheetData>
  <pageMargins left="0.85" right="0.5" top="0.75" bottom="0.17" header="0.17" footer="0.17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AMD52"/>
  <sheetViews>
    <sheetView topLeftCell="A19" zoomScaleNormal="100" zoomScaleSheetLayoutView="100" workbookViewId="0">
      <selection activeCell="K8" sqref="K8"/>
    </sheetView>
  </sheetViews>
  <sheetFormatPr defaultColWidth="9.109375" defaultRowHeight="14.4" x14ac:dyDescent="0.35"/>
  <cols>
    <col min="1" max="1" width="5" style="15" customWidth="1"/>
    <col min="2" max="2" width="25" style="2" customWidth="1"/>
    <col min="3" max="3" width="6.33203125" style="2" customWidth="1"/>
    <col min="4" max="4" width="11.109375" style="2" customWidth="1"/>
    <col min="5" max="5" width="12.5546875" style="38" customWidth="1"/>
    <col min="6" max="6" width="0.6640625" style="17" customWidth="1"/>
    <col min="7" max="7" width="13" style="2" customWidth="1"/>
    <col min="8" max="8" width="12.6640625" style="2" hidden="1" customWidth="1"/>
    <col min="9" max="9" width="0.6640625" style="2" customWidth="1"/>
    <col min="10" max="10" width="13.33203125" style="2" customWidth="1"/>
    <col min="11" max="1018" width="9.109375" style="2"/>
    <col min="1019" max="16384" width="9.109375" style="13"/>
  </cols>
  <sheetData>
    <row r="1" spans="1:13" x14ac:dyDescent="0.35">
      <c r="A1" s="1" t="s">
        <v>149</v>
      </c>
      <c r="B1" s="1"/>
      <c r="C1" s="1"/>
      <c r="D1" s="1"/>
      <c r="E1" s="1"/>
      <c r="F1" s="1"/>
      <c r="G1" s="1"/>
      <c r="H1" s="1"/>
      <c r="I1" s="1"/>
      <c r="J1" s="153" t="s">
        <v>67</v>
      </c>
    </row>
    <row r="2" spans="1:13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3" x14ac:dyDescent="0.35">
      <c r="A3" s="80"/>
      <c r="B3" s="92"/>
      <c r="C3" s="80"/>
      <c r="D3" s="80"/>
      <c r="E3" s="80"/>
      <c r="F3" s="80"/>
      <c r="G3" s="80"/>
      <c r="H3" s="80"/>
      <c r="I3" s="80"/>
      <c r="J3" s="80"/>
    </row>
    <row r="4" spans="1:13" x14ac:dyDescent="0.35">
      <c r="A4" s="36">
        <v>8</v>
      </c>
      <c r="B4" s="92" t="s">
        <v>143</v>
      </c>
      <c r="C4" s="37"/>
      <c r="D4" s="37"/>
    </row>
    <row r="5" spans="1:13" ht="28.8" x14ac:dyDescent="0.35">
      <c r="A5" s="36"/>
      <c r="B5" s="96" t="s">
        <v>26</v>
      </c>
      <c r="C5" s="37"/>
      <c r="D5" s="37"/>
      <c r="E5" s="39" t="s">
        <v>111</v>
      </c>
      <c r="F5" s="39"/>
      <c r="G5" s="40" t="s">
        <v>13</v>
      </c>
      <c r="H5" s="41" t="s">
        <v>14</v>
      </c>
      <c r="I5" s="42"/>
      <c r="J5" s="43" t="s">
        <v>112</v>
      </c>
    </row>
    <row r="6" spans="1:13" x14ac:dyDescent="0.35">
      <c r="A6" s="36"/>
      <c r="B6" s="44" t="str">
        <f>+TB!A8</f>
        <v>Furniture &amp; Fittings</v>
      </c>
      <c r="C6" s="44"/>
      <c r="D6" s="44"/>
      <c r="E6" s="131">
        <v>0</v>
      </c>
      <c r="F6" s="131"/>
      <c r="G6" s="131">
        <f>TB!B8</f>
        <v>153700</v>
      </c>
      <c r="H6" s="118"/>
      <c r="I6" s="119"/>
      <c r="J6" s="118">
        <f>SUM(E6:G6)</f>
        <v>153700</v>
      </c>
    </row>
    <row r="7" spans="1:13" x14ac:dyDescent="0.35">
      <c r="A7" s="36"/>
      <c r="B7" s="44" t="e">
        <f>+TB!#REF!</f>
        <v>#REF!</v>
      </c>
      <c r="C7" s="44"/>
      <c r="D7" s="44"/>
      <c r="E7" s="131">
        <v>0</v>
      </c>
      <c r="F7" s="131"/>
      <c r="G7" s="131" t="e">
        <f>TB!#REF!</f>
        <v>#REF!</v>
      </c>
      <c r="H7" s="118"/>
      <c r="I7" s="119"/>
      <c r="J7" s="118" t="e">
        <f t="shared" ref="J7:J11" si="0">SUM(E7:G7)</f>
        <v>#REF!</v>
      </c>
    </row>
    <row r="8" spans="1:13" x14ac:dyDescent="0.35">
      <c r="A8" s="36"/>
      <c r="B8" s="44" t="e">
        <f>+TB!#REF!</f>
        <v>#REF!</v>
      </c>
      <c r="C8" s="44"/>
      <c r="D8" s="44"/>
      <c r="E8" s="131">
        <v>0</v>
      </c>
      <c r="F8" s="131"/>
      <c r="G8" s="131" t="e">
        <f>TB!#REF!</f>
        <v>#REF!</v>
      </c>
      <c r="H8" s="118"/>
      <c r="I8" s="119"/>
      <c r="J8" s="118" t="e">
        <f t="shared" si="0"/>
        <v>#REF!</v>
      </c>
    </row>
    <row r="9" spans="1:13" x14ac:dyDescent="0.35">
      <c r="A9" s="36"/>
      <c r="B9" s="44" t="e">
        <f>+TB!#REF!</f>
        <v>#REF!</v>
      </c>
      <c r="C9" s="44"/>
      <c r="D9" s="44"/>
      <c r="E9" s="131">
        <v>0</v>
      </c>
      <c r="F9" s="131"/>
      <c r="G9" s="131" t="e">
        <f>TB!#REF!</f>
        <v>#REF!</v>
      </c>
      <c r="H9" s="118"/>
      <c r="I9" s="119"/>
      <c r="J9" s="118" t="e">
        <f t="shared" si="0"/>
        <v>#REF!</v>
      </c>
    </row>
    <row r="10" spans="1:13" x14ac:dyDescent="0.35">
      <c r="A10" s="36"/>
      <c r="B10" s="44" t="e">
        <f>+TB!#REF!</f>
        <v>#REF!</v>
      </c>
      <c r="C10" s="44"/>
      <c r="D10" s="44"/>
      <c r="E10" s="131">
        <v>0</v>
      </c>
      <c r="F10" s="131"/>
      <c r="G10" s="131" t="e">
        <f>TB!#REF!</f>
        <v>#REF!</v>
      </c>
      <c r="H10" s="118"/>
      <c r="I10" s="119"/>
      <c r="J10" s="118" t="e">
        <f t="shared" si="0"/>
        <v>#REF!</v>
      </c>
    </row>
    <row r="11" spans="1:13" x14ac:dyDescent="0.35">
      <c r="A11" s="36"/>
      <c r="B11" s="44" t="e">
        <f>+TB!#REF!</f>
        <v>#REF!</v>
      </c>
      <c r="C11" s="44"/>
      <c r="D11" s="44"/>
      <c r="E11" s="131">
        <v>0</v>
      </c>
      <c r="F11" s="131"/>
      <c r="G11" s="131" t="e">
        <f>TB!#REF!</f>
        <v>#REF!</v>
      </c>
      <c r="H11" s="118"/>
      <c r="I11" s="119"/>
      <c r="J11" s="118" t="e">
        <f t="shared" si="0"/>
        <v>#REF!</v>
      </c>
    </row>
    <row r="12" spans="1:13" ht="15" thickBot="1" x14ac:dyDescent="0.4">
      <c r="A12" s="36"/>
      <c r="B12" s="44"/>
      <c r="C12" s="44"/>
      <c r="D12" s="44"/>
      <c r="E12" s="132">
        <f>SUM(E6:E11)</f>
        <v>0</v>
      </c>
      <c r="F12" s="131"/>
      <c r="G12" s="132" t="e">
        <f>SUM(G6:G11)</f>
        <v>#REF!</v>
      </c>
      <c r="H12" s="118"/>
      <c r="I12" s="119"/>
      <c r="J12" s="132" t="e">
        <f>SUM(J6:J11)</f>
        <v>#REF!</v>
      </c>
    </row>
    <row r="13" spans="1:13" ht="15" thickTop="1" x14ac:dyDescent="0.35">
      <c r="A13" s="36"/>
      <c r="B13" s="37"/>
      <c r="C13" s="37"/>
      <c r="D13" s="37"/>
      <c r="E13" s="47"/>
      <c r="F13" s="47"/>
      <c r="G13" s="47"/>
      <c r="H13" s="47"/>
      <c r="I13" s="47"/>
      <c r="J13" s="46"/>
    </row>
    <row r="14" spans="1:13" x14ac:dyDescent="0.35">
      <c r="A14" s="36"/>
      <c r="B14" s="37"/>
      <c r="C14" s="37"/>
      <c r="D14" s="37"/>
      <c r="E14" s="47"/>
      <c r="F14" s="47"/>
      <c r="G14" s="47"/>
      <c r="H14" s="17"/>
      <c r="I14" s="17"/>
      <c r="J14" s="17"/>
    </row>
    <row r="15" spans="1:13" ht="28.8" x14ac:dyDescent="0.35">
      <c r="A15" s="36"/>
      <c r="B15" s="36" t="s">
        <v>113</v>
      </c>
      <c r="C15" s="37"/>
      <c r="D15" s="37"/>
      <c r="E15" s="39" t="s">
        <v>111</v>
      </c>
      <c r="F15" s="39"/>
      <c r="G15" s="39" t="s">
        <v>15</v>
      </c>
      <c r="H15" s="41" t="s">
        <v>14</v>
      </c>
      <c r="I15" s="42"/>
      <c r="J15" s="43" t="s">
        <v>112</v>
      </c>
      <c r="M15" s="49"/>
    </row>
    <row r="16" spans="1:13" x14ac:dyDescent="0.35">
      <c r="A16" s="50"/>
      <c r="B16" s="44" t="str">
        <f t="shared" ref="B16:B21" si="1">B6</f>
        <v>Furniture &amp; Fittings</v>
      </c>
      <c r="C16" s="44"/>
      <c r="D16" s="44"/>
      <c r="E16" s="131">
        <v>0</v>
      </c>
      <c r="F16" s="131"/>
      <c r="G16" s="118">
        <f>PPE!G4</f>
        <v>28887.178082191782</v>
      </c>
      <c r="H16" s="118"/>
      <c r="I16" s="119"/>
      <c r="J16" s="137">
        <f>SUM(E16:G16)</f>
        <v>28887.178082191782</v>
      </c>
    </row>
    <row r="17" spans="1:10" x14ac:dyDescent="0.35">
      <c r="A17" s="50"/>
      <c r="B17" s="44" t="e">
        <f t="shared" si="1"/>
        <v>#REF!</v>
      </c>
      <c r="C17" s="44"/>
      <c r="D17" s="44"/>
      <c r="E17" s="131">
        <v>0</v>
      </c>
      <c r="F17" s="131"/>
      <c r="G17" s="118" t="e">
        <f>PPE!#REF!</f>
        <v>#REF!</v>
      </c>
      <c r="H17" s="118"/>
      <c r="I17" s="119"/>
      <c r="J17" s="137" t="e">
        <f t="shared" ref="J17:J21" si="2">SUM(E17:G17)</f>
        <v>#REF!</v>
      </c>
    </row>
    <row r="18" spans="1:10" x14ac:dyDescent="0.35">
      <c r="A18" s="50"/>
      <c r="B18" s="44" t="e">
        <f t="shared" si="1"/>
        <v>#REF!</v>
      </c>
      <c r="C18" s="44"/>
      <c r="D18" s="44"/>
      <c r="E18" s="131">
        <v>0</v>
      </c>
      <c r="F18" s="131"/>
      <c r="G18" s="118" t="e">
        <f>PPE!#REF!</f>
        <v>#REF!</v>
      </c>
      <c r="H18" s="118"/>
      <c r="I18" s="119"/>
      <c r="J18" s="137" t="e">
        <f t="shared" si="2"/>
        <v>#REF!</v>
      </c>
    </row>
    <row r="19" spans="1:10" x14ac:dyDescent="0.35">
      <c r="A19" s="50"/>
      <c r="B19" s="44" t="e">
        <f t="shared" si="1"/>
        <v>#REF!</v>
      </c>
      <c r="C19" s="44"/>
      <c r="D19" s="44"/>
      <c r="E19" s="131">
        <v>0</v>
      </c>
      <c r="F19" s="131"/>
      <c r="G19" s="118" t="e">
        <f>PPE!#REF!</f>
        <v>#REF!</v>
      </c>
      <c r="H19" s="118"/>
      <c r="I19" s="119"/>
      <c r="J19" s="137" t="e">
        <f t="shared" si="2"/>
        <v>#REF!</v>
      </c>
    </row>
    <row r="20" spans="1:10" x14ac:dyDescent="0.35">
      <c r="A20" s="50"/>
      <c r="B20" s="44" t="e">
        <f t="shared" si="1"/>
        <v>#REF!</v>
      </c>
      <c r="C20" s="44"/>
      <c r="D20" s="44"/>
      <c r="E20" s="131">
        <v>0</v>
      </c>
      <c r="F20" s="131"/>
      <c r="G20" s="118" t="e">
        <f>PPE!#REF!</f>
        <v>#REF!</v>
      </c>
      <c r="H20" s="118"/>
      <c r="I20" s="119"/>
      <c r="J20" s="137" t="e">
        <f t="shared" si="2"/>
        <v>#REF!</v>
      </c>
    </row>
    <row r="21" spans="1:10" x14ac:dyDescent="0.35">
      <c r="A21" s="50"/>
      <c r="B21" s="44" t="e">
        <f t="shared" si="1"/>
        <v>#REF!</v>
      </c>
      <c r="C21" s="44"/>
      <c r="D21" s="44"/>
      <c r="E21" s="131">
        <v>0</v>
      </c>
      <c r="F21" s="131"/>
      <c r="G21" s="118" t="e">
        <f>PPE!#REF!</f>
        <v>#REF!</v>
      </c>
      <c r="H21" s="118"/>
      <c r="I21" s="119"/>
      <c r="J21" s="137" t="e">
        <f t="shared" si="2"/>
        <v>#REF!</v>
      </c>
    </row>
    <row r="22" spans="1:10" ht="15" thickBot="1" x14ac:dyDescent="0.4">
      <c r="A22" s="50"/>
      <c r="B22" s="44"/>
      <c r="C22" s="44"/>
      <c r="D22" s="44"/>
      <c r="E22" s="132">
        <f>SUM(E16:E21)</f>
        <v>0</v>
      </c>
      <c r="F22" s="131"/>
      <c r="G22" s="173" t="e">
        <f>SUM(G16:G21)</f>
        <v>#REF!</v>
      </c>
      <c r="H22" s="118"/>
      <c r="I22" s="119"/>
      <c r="J22" s="132" t="e">
        <f>SUM(J16:J21)</f>
        <v>#REF!</v>
      </c>
    </row>
    <row r="23" spans="1:10" ht="15" thickTop="1" x14ac:dyDescent="0.35">
      <c r="A23" s="36"/>
      <c r="B23" s="44"/>
      <c r="C23" s="44"/>
      <c r="D23" s="44"/>
      <c r="E23" s="45"/>
      <c r="F23" s="45"/>
      <c r="G23" s="51"/>
      <c r="H23" s="48"/>
      <c r="I23" s="46"/>
      <c r="J23" s="38"/>
    </row>
    <row r="24" spans="1:10" ht="28.8" x14ac:dyDescent="0.35">
      <c r="A24" s="2"/>
      <c r="B24" s="96" t="s">
        <v>80</v>
      </c>
      <c r="J24" s="90" t="s">
        <v>134</v>
      </c>
    </row>
    <row r="25" spans="1:10" x14ac:dyDescent="0.35">
      <c r="A25" s="2"/>
      <c r="B25" s="44" t="str">
        <f t="shared" ref="B25:B30" si="3">B16</f>
        <v>Furniture &amp; Fittings</v>
      </c>
      <c r="J25" s="74">
        <f t="shared" ref="J25:J30" si="4">J6-J16</f>
        <v>124812.82191780822</v>
      </c>
    </row>
    <row r="26" spans="1:10" x14ac:dyDescent="0.35">
      <c r="A26" s="2"/>
      <c r="B26" s="44" t="e">
        <f t="shared" si="3"/>
        <v>#REF!</v>
      </c>
      <c r="J26" s="74" t="e">
        <f t="shared" si="4"/>
        <v>#REF!</v>
      </c>
    </row>
    <row r="27" spans="1:10" x14ac:dyDescent="0.35">
      <c r="A27" s="2"/>
      <c r="B27" s="44" t="e">
        <f t="shared" si="3"/>
        <v>#REF!</v>
      </c>
      <c r="J27" s="74" t="e">
        <f t="shared" si="4"/>
        <v>#REF!</v>
      </c>
    </row>
    <row r="28" spans="1:10" x14ac:dyDescent="0.35">
      <c r="A28" s="2"/>
      <c r="B28" s="44" t="e">
        <f t="shared" si="3"/>
        <v>#REF!</v>
      </c>
      <c r="J28" s="74" t="e">
        <f t="shared" si="4"/>
        <v>#REF!</v>
      </c>
    </row>
    <row r="29" spans="1:10" x14ac:dyDescent="0.35">
      <c r="A29" s="2"/>
      <c r="B29" s="44" t="e">
        <f t="shared" si="3"/>
        <v>#REF!</v>
      </c>
      <c r="J29" s="74" t="e">
        <f t="shared" si="4"/>
        <v>#REF!</v>
      </c>
    </row>
    <row r="30" spans="1:10" x14ac:dyDescent="0.35">
      <c r="A30" s="2"/>
      <c r="B30" s="44" t="e">
        <f t="shared" si="3"/>
        <v>#REF!</v>
      </c>
      <c r="J30" s="74" t="e">
        <f t="shared" si="4"/>
        <v>#REF!</v>
      </c>
    </row>
    <row r="31" spans="1:10" ht="15" thickBot="1" x14ac:dyDescent="0.4">
      <c r="A31" s="2"/>
      <c r="J31" s="138" t="e">
        <f>SUM(J25:J30)</f>
        <v>#REF!</v>
      </c>
    </row>
    <row r="32" spans="1:10" ht="15" thickTop="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</sheetData>
  <pageMargins left="0.85" right="0.5" top="0.75" bottom="0.17" header="0.17" footer="0.17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MD67"/>
  <sheetViews>
    <sheetView topLeftCell="A13" workbookViewId="0">
      <selection activeCell="J24" sqref="J24"/>
    </sheetView>
  </sheetViews>
  <sheetFormatPr defaultColWidth="9.109375" defaultRowHeight="14.4" x14ac:dyDescent="0.35"/>
  <cols>
    <col min="1" max="1" width="5" style="15" customWidth="1"/>
    <col min="2" max="2" width="22.5546875" style="2" customWidth="1"/>
    <col min="3" max="3" width="9.109375" style="2"/>
    <col min="4" max="4" width="10.109375" style="2" customWidth="1"/>
    <col min="5" max="5" width="12.5546875" style="38" customWidth="1"/>
    <col min="6" max="6" width="0.6640625" style="17" customWidth="1"/>
    <col min="7" max="7" width="15.21875" style="2" customWidth="1"/>
    <col min="8" max="8" width="12.6640625" style="2" hidden="1" customWidth="1"/>
    <col min="9" max="9" width="0.6640625" style="2" customWidth="1"/>
    <col min="10" max="10" width="11.77734375" style="2" customWidth="1"/>
    <col min="11" max="1018" width="9.109375" style="2"/>
    <col min="1019" max="16384" width="9.109375" style="13"/>
  </cols>
  <sheetData>
    <row r="1" spans="1:10" x14ac:dyDescent="0.35">
      <c r="A1" s="1" t="s">
        <v>149</v>
      </c>
      <c r="B1" s="1"/>
      <c r="C1" s="1"/>
      <c r="D1" s="1"/>
      <c r="E1" s="1"/>
      <c r="F1" s="1"/>
      <c r="G1" s="1"/>
      <c r="H1" s="1"/>
      <c r="I1" s="1"/>
      <c r="J1" s="153" t="s">
        <v>104</v>
      </c>
    </row>
    <row r="2" spans="1:10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x14ac:dyDescent="0.35">
      <c r="A3" s="91" t="s">
        <v>79</v>
      </c>
      <c r="B3" s="80"/>
      <c r="C3" s="80"/>
      <c r="D3" s="80"/>
      <c r="E3" s="80"/>
      <c r="F3" s="80"/>
      <c r="G3" s="80"/>
      <c r="H3" s="80"/>
      <c r="I3" s="80"/>
      <c r="J3" s="10">
        <v>2025</v>
      </c>
    </row>
    <row r="4" spans="1:10" x14ac:dyDescent="0.35">
      <c r="A4" s="3"/>
      <c r="B4" s="53"/>
      <c r="C4" s="53"/>
      <c r="D4" s="53"/>
      <c r="H4" s="17"/>
      <c r="I4" s="17"/>
      <c r="J4" s="10" t="str">
        <f>[2]Income!D6</f>
        <v>Rs</v>
      </c>
    </row>
    <row r="5" spans="1:10" x14ac:dyDescent="0.35">
      <c r="A5" s="3"/>
      <c r="B5" s="53"/>
      <c r="C5" s="53"/>
      <c r="D5" s="53"/>
      <c r="H5" s="17"/>
      <c r="I5" s="17"/>
      <c r="J5" s="54"/>
    </row>
    <row r="6" spans="1:10" x14ac:dyDescent="0.35">
      <c r="A6" s="3">
        <v>9</v>
      </c>
      <c r="B6" s="55" t="s">
        <v>3</v>
      </c>
      <c r="C6" s="55"/>
      <c r="D6" s="55"/>
      <c r="H6" s="51"/>
      <c r="I6" s="51"/>
      <c r="J6" s="54"/>
    </row>
    <row r="7" spans="1:10" x14ac:dyDescent="0.35">
      <c r="A7" s="3"/>
      <c r="B7" s="56" t="s">
        <v>123</v>
      </c>
      <c r="C7" s="56"/>
      <c r="D7" s="56"/>
      <c r="H7" s="51"/>
      <c r="I7" s="51"/>
      <c r="J7" s="118">
        <f>+TB!B6</f>
        <v>12560</v>
      </c>
    </row>
    <row r="8" spans="1:10" ht="15" thickBot="1" x14ac:dyDescent="0.4">
      <c r="A8" s="3"/>
      <c r="B8" s="53"/>
      <c r="C8" s="53"/>
      <c r="D8" s="53"/>
      <c r="H8" s="52"/>
      <c r="I8" s="46"/>
      <c r="J8" s="133">
        <f>SUM(J7:J7)</f>
        <v>12560</v>
      </c>
    </row>
    <row r="9" spans="1:10" ht="15" thickTop="1" x14ac:dyDescent="0.35">
      <c r="A9" s="57"/>
      <c r="B9" s="53"/>
      <c r="C9" s="53"/>
      <c r="D9" s="53"/>
      <c r="H9" s="17"/>
      <c r="I9" s="17"/>
      <c r="J9" s="54"/>
    </row>
    <row r="10" spans="1:10" x14ac:dyDescent="0.35">
      <c r="A10" s="57">
        <v>10</v>
      </c>
      <c r="B10" s="87" t="s">
        <v>6</v>
      </c>
      <c r="C10" s="53"/>
      <c r="D10" s="53"/>
      <c r="H10" s="17"/>
      <c r="I10" s="17"/>
      <c r="J10" s="54"/>
    </row>
    <row r="11" spans="1:10" x14ac:dyDescent="0.35">
      <c r="A11" s="57"/>
      <c r="B11" s="53"/>
      <c r="C11" s="53"/>
      <c r="D11" s="53"/>
      <c r="H11" s="17"/>
      <c r="I11" s="17"/>
      <c r="J11" s="86" t="s">
        <v>72</v>
      </c>
    </row>
    <row r="12" spans="1:10" x14ac:dyDescent="0.35">
      <c r="A12" s="57"/>
      <c r="B12" s="53" t="s">
        <v>71</v>
      </c>
      <c r="C12" s="53"/>
      <c r="D12" s="53"/>
      <c r="H12" s="17"/>
      <c r="I12" s="17"/>
      <c r="J12" s="54">
        <v>6</v>
      </c>
    </row>
    <row r="13" spans="1:10" ht="15" thickBot="1" x14ac:dyDescent="0.4">
      <c r="A13" s="57"/>
      <c r="B13" s="53"/>
      <c r="C13" s="53"/>
      <c r="D13" s="53"/>
      <c r="H13" s="17"/>
      <c r="I13" s="17"/>
      <c r="J13" s="82">
        <f>SUM(J12)</f>
        <v>6</v>
      </c>
    </row>
    <row r="14" spans="1:10" ht="15" thickTop="1" x14ac:dyDescent="0.35">
      <c r="A14" s="57"/>
      <c r="B14" s="53"/>
      <c r="C14" s="53"/>
      <c r="D14" s="53"/>
      <c r="H14" s="17"/>
      <c r="I14" s="17"/>
      <c r="J14" s="54"/>
    </row>
    <row r="15" spans="1:10" x14ac:dyDescent="0.35">
      <c r="A15" s="57"/>
      <c r="B15" s="53"/>
      <c r="C15" s="53"/>
      <c r="D15" s="53"/>
      <c r="H15" s="17"/>
      <c r="I15" s="17"/>
      <c r="J15" s="86" t="s">
        <v>11</v>
      </c>
    </row>
    <row r="16" spans="1:10" x14ac:dyDescent="0.35">
      <c r="A16" s="57"/>
      <c r="B16" s="53" t="s">
        <v>73</v>
      </c>
      <c r="C16" s="53"/>
      <c r="D16" s="53"/>
      <c r="H16" s="17"/>
      <c r="I16" s="17"/>
      <c r="J16" s="134">
        <f>+TB!C14</f>
        <v>6000</v>
      </c>
    </row>
    <row r="17" spans="1:10" ht="15" thickBot="1" x14ac:dyDescent="0.4">
      <c r="A17" s="57"/>
      <c r="B17" s="53"/>
      <c r="C17" s="53"/>
      <c r="D17" s="53"/>
      <c r="H17" s="17"/>
      <c r="I17" s="17"/>
      <c r="J17" s="133">
        <f>SUM(J16)</f>
        <v>6000</v>
      </c>
    </row>
    <row r="18" spans="1:10" ht="15" thickTop="1" x14ac:dyDescent="0.35">
      <c r="A18" s="57"/>
      <c r="B18" s="53"/>
      <c r="C18" s="53"/>
      <c r="D18" s="53"/>
      <c r="H18" s="17"/>
      <c r="I18" s="17"/>
      <c r="J18" s="54"/>
    </row>
    <row r="19" spans="1:10" x14ac:dyDescent="0.35">
      <c r="A19" s="3">
        <v>11</v>
      </c>
      <c r="B19" s="58" t="s">
        <v>105</v>
      </c>
      <c r="C19" s="58"/>
      <c r="D19" s="58"/>
      <c r="H19" s="38"/>
      <c r="I19" s="17"/>
      <c r="J19" s="59"/>
    </row>
    <row r="20" spans="1:10" x14ac:dyDescent="0.35">
      <c r="A20" s="3"/>
      <c r="B20" s="114" t="s">
        <v>160</v>
      </c>
      <c r="C20" s="58"/>
      <c r="D20" s="58"/>
      <c r="H20" s="38"/>
      <c r="I20" s="17"/>
      <c r="J20" s="135" t="e">
        <f>TB!#REF!</f>
        <v>#REF!</v>
      </c>
    </row>
    <row r="21" spans="1:10" x14ac:dyDescent="0.35">
      <c r="A21" s="3"/>
      <c r="B21" s="114" t="s">
        <v>161</v>
      </c>
      <c r="C21" s="58"/>
      <c r="D21" s="58"/>
      <c r="H21" s="38"/>
      <c r="I21" s="17"/>
      <c r="J21" s="135" t="e">
        <f>TB!#REF!</f>
        <v>#REF!</v>
      </c>
    </row>
    <row r="22" spans="1:10" x14ac:dyDescent="0.35">
      <c r="A22" s="3"/>
      <c r="B22" s="114" t="s">
        <v>139</v>
      </c>
      <c r="C22" s="58"/>
      <c r="D22" s="58"/>
      <c r="H22" s="38"/>
      <c r="I22" s="17"/>
      <c r="J22" s="135">
        <f>+TB!C11</f>
        <v>15000</v>
      </c>
    </row>
    <row r="23" spans="1:10" x14ac:dyDescent="0.35">
      <c r="A23" s="3"/>
      <c r="B23" s="114" t="s">
        <v>100</v>
      </c>
      <c r="C23" s="58"/>
      <c r="D23" s="58"/>
      <c r="H23" s="38"/>
      <c r="I23" s="17"/>
      <c r="J23" s="135">
        <f>+TB!C12</f>
        <v>25000</v>
      </c>
    </row>
    <row r="24" spans="1:10" ht="15" thickBot="1" x14ac:dyDescent="0.4">
      <c r="A24" s="57"/>
      <c r="H24" s="17"/>
      <c r="I24" s="17"/>
      <c r="J24" s="133" t="e">
        <f>SUM(J20:J23)</f>
        <v>#REF!</v>
      </c>
    </row>
    <row r="25" spans="1:10" ht="15" thickTop="1" x14ac:dyDescent="0.35">
      <c r="A25" s="3"/>
      <c r="B25" s="61"/>
      <c r="C25" s="61"/>
      <c r="D25" s="61"/>
      <c r="H25" s="17"/>
      <c r="I25" s="17"/>
      <c r="J25" s="83"/>
    </row>
    <row r="26" spans="1:10" x14ac:dyDescent="0.35">
      <c r="H26" s="51"/>
      <c r="I26" s="51"/>
      <c r="J26" s="51"/>
    </row>
    <row r="27" spans="1:10" x14ac:dyDescent="0.35">
      <c r="H27" s="51"/>
      <c r="I27" s="51"/>
      <c r="J27" s="51"/>
    </row>
    <row r="28" spans="1:10" s="2" customFormat="1" x14ac:dyDescent="0.35">
      <c r="H28" s="46"/>
      <c r="I28" s="46"/>
      <c r="J28" s="51"/>
    </row>
    <row r="29" spans="1:10" x14ac:dyDescent="0.35">
      <c r="A29" s="2"/>
      <c r="E29" s="51"/>
      <c r="F29" s="51"/>
    </row>
    <row r="30" spans="1:10" x14ac:dyDescent="0.35">
      <c r="A30" s="2"/>
    </row>
    <row r="31" spans="1:10" x14ac:dyDescent="0.35">
      <c r="A31" s="2"/>
    </row>
    <row r="32" spans="1:10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</sheetData>
  <pageMargins left="0.85" right="0.5" top="0.75" bottom="0.17" header="0.17" footer="0.17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K54"/>
  <sheetViews>
    <sheetView topLeftCell="A13" zoomScaleNormal="100" zoomScaleSheetLayoutView="100" workbookViewId="0">
      <selection activeCell="A4" sqref="A4"/>
    </sheetView>
  </sheetViews>
  <sheetFormatPr defaultColWidth="9.109375" defaultRowHeight="14.4" x14ac:dyDescent="0.35"/>
  <cols>
    <col min="1" max="1" width="20.109375" style="13" customWidth="1"/>
    <col min="2" max="2" width="12.5546875" style="13" bestFit="1" customWidth="1"/>
    <col min="3" max="3" width="5.88671875" style="13" customWidth="1"/>
    <col min="4" max="4" width="12.109375" style="13" customWidth="1"/>
    <col min="5" max="5" width="11.44140625" style="13" bestFit="1" customWidth="1"/>
    <col min="6" max="6" width="11.5546875" style="13" customWidth="1"/>
    <col min="7" max="7" width="0.6640625" style="13" customWidth="1"/>
    <col min="8" max="8" width="13.109375" style="13" customWidth="1"/>
    <col min="9" max="10" width="9.109375" style="13"/>
    <col min="11" max="11" width="10.6640625" style="13" bestFit="1" customWidth="1"/>
    <col min="12" max="16384" width="9.109375" style="13"/>
  </cols>
  <sheetData>
    <row r="1" spans="1:8" x14ac:dyDescent="0.35">
      <c r="A1" s="1" t="s">
        <v>149</v>
      </c>
      <c r="B1" s="30"/>
      <c r="F1" s="93"/>
      <c r="G1" s="94"/>
      <c r="H1" s="153" t="s">
        <v>81</v>
      </c>
    </row>
    <row r="2" spans="1:8" x14ac:dyDescent="0.35">
      <c r="A2" s="30" t="s">
        <v>82</v>
      </c>
      <c r="B2" s="30"/>
    </row>
    <row r="3" spans="1:8" x14ac:dyDescent="0.35">
      <c r="A3" s="30" t="s">
        <v>127</v>
      </c>
      <c r="B3" s="30"/>
    </row>
    <row r="4" spans="1:8" x14ac:dyDescent="0.35">
      <c r="A4" s="30" t="s">
        <v>150</v>
      </c>
    </row>
    <row r="5" spans="1:8" x14ac:dyDescent="0.35">
      <c r="A5" s="95"/>
      <c r="B5" s="95"/>
      <c r="D5" s="96"/>
      <c r="E5" s="96"/>
      <c r="H5" s="96" t="s">
        <v>11</v>
      </c>
    </row>
    <row r="6" spans="1:8" x14ac:dyDescent="0.35">
      <c r="A6" s="63" t="s">
        <v>83</v>
      </c>
      <c r="E6" s="21"/>
      <c r="H6" s="21" t="e">
        <f>+PL!D12</f>
        <v>#REF!</v>
      </c>
    </row>
    <row r="7" spans="1:8" x14ac:dyDescent="0.35">
      <c r="A7" s="97"/>
      <c r="E7" s="21"/>
      <c r="H7" s="21"/>
    </row>
    <row r="8" spans="1:8" x14ac:dyDescent="0.35">
      <c r="A8" s="64" t="s">
        <v>84</v>
      </c>
      <c r="E8" s="21"/>
      <c r="H8" s="98">
        <v>0</v>
      </c>
    </row>
    <row r="9" spans="1:8" x14ac:dyDescent="0.35">
      <c r="E9" s="21"/>
      <c r="H9" s="21" t="e">
        <f>SUM(H6:H8)</f>
        <v>#REF!</v>
      </c>
    </row>
    <row r="10" spans="1:8" x14ac:dyDescent="0.35">
      <c r="A10" s="30" t="s">
        <v>85</v>
      </c>
      <c r="B10" s="30"/>
      <c r="E10" s="21"/>
      <c r="H10" s="21"/>
    </row>
    <row r="11" spans="1:8" x14ac:dyDescent="0.35">
      <c r="A11" s="13" t="s">
        <v>129</v>
      </c>
      <c r="D11" s="99"/>
      <c r="F11" s="191" t="e">
        <f>'P10'!G22</f>
        <v>#REF!</v>
      </c>
      <c r="H11" s="205" t="e">
        <f>+F11</f>
        <v>#REF!</v>
      </c>
    </row>
    <row r="12" spans="1:8" x14ac:dyDescent="0.35">
      <c r="E12" s="21"/>
      <c r="H12" s="21" t="e">
        <f>SUM(H9:H11)</f>
        <v>#REF!</v>
      </c>
    </row>
    <row r="13" spans="1:8" x14ac:dyDescent="0.35">
      <c r="A13" s="30" t="s">
        <v>130</v>
      </c>
      <c r="B13" s="30"/>
      <c r="E13" s="21"/>
      <c r="H13" s="21"/>
    </row>
    <row r="14" spans="1:8" x14ac:dyDescent="0.35">
      <c r="A14" s="13" t="s">
        <v>86</v>
      </c>
      <c r="F14" s="65" t="s">
        <v>140</v>
      </c>
      <c r="H14" s="98" t="e">
        <f>-E42</f>
        <v>#REF!</v>
      </c>
    </row>
    <row r="15" spans="1:8" x14ac:dyDescent="0.35">
      <c r="A15" s="13" t="s">
        <v>87</v>
      </c>
      <c r="E15" s="21"/>
      <c r="H15" s="100" t="e">
        <f>SUM(H12:H14)</f>
        <v>#REF!</v>
      </c>
    </row>
    <row r="16" spans="1:8" x14ac:dyDescent="0.35">
      <c r="E16" s="101"/>
      <c r="H16" s="101"/>
    </row>
    <row r="17" spans="1:11" x14ac:dyDescent="0.35">
      <c r="A17" s="13" t="s">
        <v>88</v>
      </c>
      <c r="E17" s="101"/>
      <c r="H17" s="136" t="s">
        <v>173</v>
      </c>
    </row>
    <row r="18" spans="1:11" x14ac:dyDescent="0.35">
      <c r="E18" s="101"/>
      <c r="H18" s="101"/>
    </row>
    <row r="19" spans="1:11" hidden="1" x14ac:dyDescent="0.35">
      <c r="A19" s="102" t="s">
        <v>89</v>
      </c>
      <c r="E19" s="103" t="s">
        <v>90</v>
      </c>
      <c r="F19" s="32" t="str">
        <f>+H17</f>
        <v>Loss</v>
      </c>
      <c r="H19" s="101" t="e">
        <f>F19*0.3</f>
        <v>#VALUE!</v>
      </c>
    </row>
    <row r="20" spans="1:11" hidden="1" x14ac:dyDescent="0.35">
      <c r="E20" s="101"/>
      <c r="H20" s="101"/>
    </row>
    <row r="21" spans="1:11" hidden="1" x14ac:dyDescent="0.35">
      <c r="A21" s="104" t="s">
        <v>91</v>
      </c>
      <c r="E21" s="101"/>
      <c r="H21" s="101"/>
    </row>
    <row r="22" spans="1:11" hidden="1" x14ac:dyDescent="0.35">
      <c r="A22" s="13" t="s">
        <v>141</v>
      </c>
      <c r="E22" s="65">
        <v>24252</v>
      </c>
      <c r="F22" s="106">
        <v>0</v>
      </c>
      <c r="G22" s="105"/>
      <c r="H22" s="106">
        <f>-SUM(F22:F22)</f>
        <v>0</v>
      </c>
    </row>
    <row r="23" spans="1:11" ht="3.75" hidden="1" customHeight="1" x14ac:dyDescent="0.35">
      <c r="D23" s="65"/>
      <c r="E23" s="101"/>
      <c r="F23" s="101"/>
      <c r="G23" s="105"/>
      <c r="H23" s="101"/>
    </row>
    <row r="24" spans="1:11" ht="15" hidden="1" thickBot="1" x14ac:dyDescent="0.4">
      <c r="A24" s="30" t="s">
        <v>92</v>
      </c>
      <c r="E24" s="101"/>
      <c r="H24" s="107" t="e">
        <f>SUM(H19:H22)</f>
        <v>#VALUE!</v>
      </c>
      <c r="K24" s="29"/>
    </row>
    <row r="25" spans="1:11" ht="15" hidden="1" thickTop="1" x14ac:dyDescent="0.35">
      <c r="E25" s="101"/>
      <c r="H25" s="101"/>
    </row>
    <row r="26" spans="1:11" hidden="1" x14ac:dyDescent="0.35">
      <c r="E26" s="101"/>
      <c r="H26" s="101"/>
    </row>
    <row r="27" spans="1:11" x14ac:dyDescent="0.35">
      <c r="A27" s="63" t="s">
        <v>93</v>
      </c>
      <c r="B27" s="18"/>
      <c r="C27" s="18"/>
      <c r="D27" s="18"/>
      <c r="E27" s="101"/>
      <c r="F27" s="18"/>
      <c r="G27" s="18"/>
      <c r="H27" s="18"/>
    </row>
    <row r="28" spans="1:11" ht="7.2" customHeight="1" x14ac:dyDescent="0.35">
      <c r="E28" s="101"/>
      <c r="H28" s="101"/>
    </row>
    <row r="29" spans="1:11" x14ac:dyDescent="0.35">
      <c r="A29" s="87" t="s">
        <v>94</v>
      </c>
      <c r="B29" s="18"/>
      <c r="C29" s="18"/>
      <c r="D29" s="18"/>
      <c r="E29" s="18"/>
      <c r="F29" s="18"/>
      <c r="G29" s="18"/>
      <c r="H29" s="18"/>
    </row>
    <row r="30" spans="1:11" ht="6" customHeight="1" x14ac:dyDescent="0.35">
      <c r="A30" s="18"/>
      <c r="B30" s="18"/>
      <c r="C30" s="18"/>
      <c r="D30" s="18"/>
      <c r="E30" s="18"/>
      <c r="F30" s="18"/>
      <c r="G30" s="18"/>
      <c r="H30" s="18"/>
    </row>
    <row r="31" spans="1:11" ht="46.5" customHeight="1" x14ac:dyDescent="0.35">
      <c r="A31" s="108" t="s">
        <v>95</v>
      </c>
      <c r="B31" s="109" t="s">
        <v>26</v>
      </c>
      <c r="C31" s="96" t="s">
        <v>96</v>
      </c>
      <c r="D31" s="110" t="s">
        <v>131</v>
      </c>
      <c r="E31" s="90" t="s">
        <v>97</v>
      </c>
      <c r="F31" s="90" t="s">
        <v>132</v>
      </c>
      <c r="G31" s="90"/>
      <c r="H31" s="96" t="s">
        <v>98</v>
      </c>
    </row>
    <row r="32" spans="1:11" ht="4.8" customHeight="1" x14ac:dyDescent="0.35">
      <c r="A32" s="108"/>
      <c r="B32" s="109"/>
      <c r="C32" s="65"/>
      <c r="D32" s="111"/>
      <c r="E32" s="111"/>
      <c r="F32" s="111"/>
      <c r="G32" s="111"/>
      <c r="H32" s="65"/>
    </row>
    <row r="33" spans="1:8" x14ac:dyDescent="0.35">
      <c r="A33" s="108" t="s">
        <v>133</v>
      </c>
      <c r="B33" s="109"/>
      <c r="C33" s="65"/>
      <c r="D33" s="111"/>
      <c r="E33" s="111"/>
      <c r="F33" s="111"/>
      <c r="G33" s="111"/>
      <c r="H33" s="65"/>
    </row>
    <row r="34" spans="1:8" ht="5.4" customHeight="1" x14ac:dyDescent="0.35">
      <c r="A34" s="108"/>
      <c r="B34" s="109"/>
      <c r="C34" s="65"/>
      <c r="D34" s="111"/>
      <c r="E34" s="111"/>
      <c r="F34" s="111"/>
      <c r="G34" s="111"/>
      <c r="H34" s="65"/>
    </row>
    <row r="35" spans="1:8" x14ac:dyDescent="0.35">
      <c r="A35" s="108" t="str">
        <f>+'P10'!B6</f>
        <v>Furniture &amp; Fittings</v>
      </c>
      <c r="B35" s="167">
        <f>+'P10'!G6</f>
        <v>153700</v>
      </c>
      <c r="C35" s="65">
        <v>5</v>
      </c>
      <c r="D35" s="140">
        <v>0</v>
      </c>
      <c r="E35" s="139">
        <f>B35/C35</f>
        <v>30740</v>
      </c>
      <c r="F35" s="139">
        <f>D35+E35</f>
        <v>30740</v>
      </c>
      <c r="G35" s="111"/>
      <c r="H35" s="142">
        <f>B35-F35</f>
        <v>122960</v>
      </c>
    </row>
    <row r="36" spans="1:8" x14ac:dyDescent="0.35">
      <c r="A36" s="192" t="e">
        <f>+'P10'!B7</f>
        <v>#REF!</v>
      </c>
      <c r="B36" s="167" t="e">
        <f>+'P10'!G7</f>
        <v>#REF!</v>
      </c>
      <c r="C36" s="65">
        <v>5</v>
      </c>
      <c r="D36" s="201">
        <v>0</v>
      </c>
      <c r="E36" s="199" t="e">
        <f t="shared" ref="E36:E40" si="0">B36/C36</f>
        <v>#REF!</v>
      </c>
      <c r="F36" s="199" t="e">
        <f t="shared" ref="F36:F40" si="1">D36+E36</f>
        <v>#REF!</v>
      </c>
      <c r="G36" s="111"/>
      <c r="H36" s="203" t="e">
        <f t="shared" ref="H36:H40" si="2">B36-F36</f>
        <v>#REF!</v>
      </c>
    </row>
    <row r="37" spans="1:8" x14ac:dyDescent="0.35">
      <c r="A37" s="192" t="e">
        <f>+'P10'!B8</f>
        <v>#REF!</v>
      </c>
      <c r="B37" s="167" t="e">
        <f>+'P10'!G8</f>
        <v>#REF!</v>
      </c>
      <c r="C37" s="65">
        <v>5</v>
      </c>
      <c r="D37" s="201">
        <v>0</v>
      </c>
      <c r="E37" s="199" t="e">
        <f t="shared" si="0"/>
        <v>#REF!</v>
      </c>
      <c r="F37" s="199" t="e">
        <f t="shared" si="1"/>
        <v>#REF!</v>
      </c>
      <c r="G37" s="111"/>
      <c r="H37" s="203" t="e">
        <f t="shared" si="2"/>
        <v>#REF!</v>
      </c>
    </row>
    <row r="38" spans="1:8" s="182" customFormat="1" x14ac:dyDescent="0.35">
      <c r="A38" s="192" t="e">
        <f>+'P10'!B9</f>
        <v>#REF!</v>
      </c>
      <c r="B38" s="167" t="e">
        <f>+'P10'!G9</f>
        <v>#REF!</v>
      </c>
      <c r="C38" s="188">
        <v>5</v>
      </c>
      <c r="D38" s="201">
        <v>0</v>
      </c>
      <c r="E38" s="199" t="e">
        <f t="shared" si="0"/>
        <v>#REF!</v>
      </c>
      <c r="F38" s="199" t="e">
        <f t="shared" si="1"/>
        <v>#REF!</v>
      </c>
      <c r="G38" s="193"/>
      <c r="H38" s="203" t="e">
        <f t="shared" si="2"/>
        <v>#REF!</v>
      </c>
    </row>
    <row r="39" spans="1:8" s="182" customFormat="1" x14ac:dyDescent="0.35">
      <c r="A39" s="192" t="e">
        <f>+'P10'!B10</f>
        <v>#REF!</v>
      </c>
      <c r="B39" s="167" t="e">
        <f>+'P10'!G10</f>
        <v>#REF!</v>
      </c>
      <c r="C39" s="188">
        <v>5</v>
      </c>
      <c r="D39" s="201">
        <v>0</v>
      </c>
      <c r="E39" s="199" t="e">
        <f t="shared" si="0"/>
        <v>#REF!</v>
      </c>
      <c r="F39" s="199" t="e">
        <f t="shared" si="1"/>
        <v>#REF!</v>
      </c>
      <c r="G39" s="193"/>
      <c r="H39" s="203" t="e">
        <f t="shared" si="2"/>
        <v>#REF!</v>
      </c>
    </row>
    <row r="40" spans="1:8" s="182" customFormat="1" x14ac:dyDescent="0.35">
      <c r="A40" s="192" t="e">
        <f>+'P10'!B11</f>
        <v>#REF!</v>
      </c>
      <c r="B40" s="167" t="e">
        <f>+'P10'!G11</f>
        <v>#REF!</v>
      </c>
      <c r="C40" s="188">
        <v>5</v>
      </c>
      <c r="D40" s="201">
        <v>0</v>
      </c>
      <c r="E40" s="199" t="e">
        <f t="shared" si="0"/>
        <v>#REF!</v>
      </c>
      <c r="F40" s="199" t="e">
        <f t="shared" si="1"/>
        <v>#REF!</v>
      </c>
      <c r="G40" s="193"/>
      <c r="H40" s="203" t="e">
        <f t="shared" si="2"/>
        <v>#REF!</v>
      </c>
    </row>
    <row r="41" spans="1:8" s="182" customFormat="1" ht="4.8" customHeight="1" x14ac:dyDescent="0.35">
      <c r="A41" s="192"/>
      <c r="B41" s="200"/>
      <c r="C41" s="188"/>
      <c r="D41" s="201"/>
      <c r="E41" s="199"/>
      <c r="F41" s="199"/>
      <c r="G41" s="193"/>
      <c r="H41" s="203"/>
    </row>
    <row r="42" spans="1:8" ht="15" thickBot="1" x14ac:dyDescent="0.4">
      <c r="A42" s="63" t="s">
        <v>27</v>
      </c>
      <c r="B42" s="141" t="e">
        <f>SUM(B35:B40)</f>
        <v>#REF!</v>
      </c>
      <c r="C42" s="113"/>
      <c r="D42" s="202">
        <f>SUM(D35:D40)</f>
        <v>0</v>
      </c>
      <c r="E42" s="202" t="e">
        <f t="shared" ref="E42:H42" si="3">SUM(E35:E40)</f>
        <v>#REF!</v>
      </c>
      <c r="F42" s="202" t="e">
        <f t="shared" si="3"/>
        <v>#REF!</v>
      </c>
      <c r="G42" s="113"/>
      <c r="H42" s="202" t="e">
        <f t="shared" si="3"/>
        <v>#REF!</v>
      </c>
    </row>
    <row r="43" spans="1:8" ht="15" thickTop="1" x14ac:dyDescent="0.35">
      <c r="A43" s="18"/>
      <c r="B43" s="112"/>
      <c r="C43" s="112"/>
      <c r="D43" s="112"/>
      <c r="E43" s="112"/>
      <c r="F43" s="112"/>
      <c r="G43" s="112"/>
      <c r="H43" s="112"/>
    </row>
    <row r="45" spans="1:8" x14ac:dyDescent="0.35">
      <c r="A45" s="189" t="s">
        <v>174</v>
      </c>
    </row>
    <row r="46" spans="1:8" x14ac:dyDescent="0.35">
      <c r="A46" s="184" t="s">
        <v>175</v>
      </c>
      <c r="H46" s="164">
        <v>0</v>
      </c>
    </row>
    <row r="47" spans="1:8" x14ac:dyDescent="0.35">
      <c r="A47" s="184" t="s">
        <v>176</v>
      </c>
      <c r="H47" s="208" t="e">
        <f>-H15</f>
        <v>#REF!</v>
      </c>
    </row>
    <row r="48" spans="1:8" x14ac:dyDescent="0.35">
      <c r="A48" s="184"/>
      <c r="H48" s="164" t="e">
        <f>SUM(H46:H47)</f>
        <v>#REF!</v>
      </c>
    </row>
    <row r="49" spans="1:8" x14ac:dyDescent="0.35">
      <c r="A49" s="184"/>
    </row>
    <row r="50" spans="1:8" x14ac:dyDescent="0.35">
      <c r="A50" s="184" t="s">
        <v>177</v>
      </c>
    </row>
    <row r="51" spans="1:8" x14ac:dyDescent="0.35">
      <c r="A51" s="184" t="s">
        <v>178</v>
      </c>
      <c r="H51" s="164">
        <v>0</v>
      </c>
    </row>
    <row r="52" spans="1:8" x14ac:dyDescent="0.35">
      <c r="A52" s="184" t="s">
        <v>179</v>
      </c>
      <c r="H52" s="164">
        <v>0</v>
      </c>
    </row>
    <row r="53" spans="1:8" ht="15" thickBot="1" x14ac:dyDescent="0.4">
      <c r="A53" s="184" t="s">
        <v>180</v>
      </c>
      <c r="H53" s="209" t="e">
        <f>SUM(H48:H52)</f>
        <v>#REF!</v>
      </c>
    </row>
    <row r="54" spans="1:8" ht="15" thickTop="1" x14ac:dyDescent="0.35"/>
  </sheetData>
  <pageMargins left="0.85" right="0.5" top="0.75" bottom="0.17" header="0.17" footer="0.17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PPE</vt:lpstr>
      <vt:lpstr>Working</vt:lpstr>
      <vt:lpstr>TB</vt:lpstr>
      <vt:lpstr>CE</vt:lpstr>
      <vt:lpstr>CF</vt:lpstr>
      <vt:lpstr>PL</vt:lpstr>
      <vt:lpstr>BS</vt:lpstr>
      <vt:lpstr>P09</vt:lpstr>
      <vt:lpstr>P10</vt:lpstr>
      <vt:lpstr>P11</vt:lpstr>
      <vt:lpstr>Income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Ventura</dc:creator>
  <cp:lastModifiedBy>Malinda Chirath</cp:lastModifiedBy>
  <cp:lastPrinted>2026-05-13T18:40:41Z</cp:lastPrinted>
  <dcterms:created xsi:type="dcterms:W3CDTF">2023-10-31T06:33:17Z</dcterms:created>
  <dcterms:modified xsi:type="dcterms:W3CDTF">2026-09-14T04:06:03Z</dcterms:modified>
</cp:coreProperties>
</file>